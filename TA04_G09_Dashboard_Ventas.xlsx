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os" sheetId="2" state="visible" r:id="rId4"/>
    <sheet name="Cálculos" sheetId="3" state="visible" r:id="rId5"/>
    <sheet name="Notas" sheetId="4" state="visible" r:id="rId6"/>
  </sheets>
  <definedNames>
    <definedName function="false" hidden="false" localSheetId="0" name="_xlnm.Print_Area" vbProcedure="false">Dashboard!$A$1:$V$62</definedName>
    <definedName function="false" hidden="true" localSheetId="1" name="_xlnm._FilterDatabase" vbProcedure="false">Datos!$A$1:$R$997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<sst xmlns="http://schemas.openxmlformats.org/spreadsheetml/2006/main" count="7255" uniqueCount="532">
  <si>
    <t xml:space="preserve">Dashboard de Ventas | TA04 – Grupo 09</t>
  </si>
  <si>
    <t xml:space="preserve">Base de datos de ventas 2020–2022 · 996 registros</t>
  </si>
  <si>
    <t xml:space="preserve">Filtrar por año:</t>
  </si>
  <si>
    <t xml:space="preserve">Todos</t>
  </si>
  <si>
    <t xml:space="preserve">VENTAS TOTALES</t>
  </si>
  <si>
    <t xml:space="preserve">N° DE VENTAS</t>
  </si>
  <si>
    <t xml:space="preserve">TICKET PROMEDIO</t>
  </si>
  <si>
    <t xml:space="preserve">PAGO CON TARJETA</t>
  </si>
  <si>
    <t xml:space="preserve">Fuente: TA04_G09 Base de datos (hoja Datos). Los gráficos y KPI se recalculan al cambiar el año en la celda amarilla.</t>
  </si>
  <si>
    <t xml:space="preserve">Código</t>
  </si>
  <si>
    <t xml:space="preserve">Día</t>
  </si>
  <si>
    <t xml:space="preserve">Mes</t>
  </si>
  <si>
    <t xml:space="preserve">Año</t>
  </si>
  <si>
    <t xml:space="preserve">Hora de atención</t>
  </si>
  <si>
    <t xml:space="preserve">N° de factura</t>
  </si>
  <si>
    <t xml:space="preserve">Producto</t>
  </si>
  <si>
    <t xml:space="preserve">Descripción</t>
  </si>
  <si>
    <t xml:space="preserve">Marca</t>
  </si>
  <si>
    <t xml:space="preserve">Proveedor</t>
  </si>
  <si>
    <t xml:space="preserve">Cantidad</t>
  </si>
  <si>
    <t xml:space="preserve">Un.</t>
  </si>
  <si>
    <t xml:space="preserve">Sector</t>
  </si>
  <si>
    <t xml:space="preserve">Precio por unidad (S/)</t>
  </si>
  <si>
    <t xml:space="preserve">Total (S/)</t>
  </si>
  <si>
    <t xml:space="preserve">Forma de pago</t>
  </si>
  <si>
    <t xml:space="preserve">Fecha</t>
  </si>
  <si>
    <t xml:space="preserve">Franja horaria</t>
  </si>
  <si>
    <t xml:space="preserve">ALFAJOR</t>
  </si>
  <si>
    <t xml:space="preserve">RELLENO CON DULCE DE LECHE</t>
  </si>
  <si>
    <t xml:space="preserve">NEVARES</t>
  </si>
  <si>
    <t xml:space="preserve">COMPAÑÍA AMERICANA DE ALIMENTOS S.A.</t>
  </si>
  <si>
    <t xml:space="preserve">GR</t>
  </si>
  <si>
    <t xml:space="preserve">ALMACÉN</t>
  </si>
  <si>
    <t xml:space="preserve">EFECTIVO</t>
  </si>
  <si>
    <t xml:space="preserve">YERBA MATE</t>
  </si>
  <si>
    <t xml:space="preserve">MANZANILLA</t>
  </si>
  <si>
    <t xml:space="preserve">PLAYADITO</t>
  </si>
  <si>
    <t xml:space="preserve">COOP AGR.LIEBIG</t>
  </si>
  <si>
    <t xml:space="preserve">ARROZ</t>
  </si>
  <si>
    <t xml:space="preserve">LARGO FINO 00000</t>
  </si>
  <si>
    <t xml:space="preserve">NOBLE</t>
  </si>
  <si>
    <t xml:space="preserve">COOP VILLA ELIZA</t>
  </si>
  <si>
    <t xml:space="preserve">KG</t>
  </si>
  <si>
    <t xml:space="preserve">TARJETA</t>
  </si>
  <si>
    <t xml:space="preserve">DULCE DE LECHE</t>
  </si>
  <si>
    <t xml:space="preserve">LECHE EVAPORADA</t>
  </si>
  <si>
    <t xml:space="preserve">SAN IGNACIO</t>
  </si>
  <si>
    <t xml:space="preserve">ESTABLECIMIENTO SAN IGNACIO S.A.</t>
  </si>
  <si>
    <t xml:space="preserve">LÁCTEOS</t>
  </si>
  <si>
    <t xml:space="preserve">QUESO CREMA</t>
  </si>
  <si>
    <t xml:space="preserve">ENTERO LIGHT EN POTE</t>
  </si>
  <si>
    <t xml:space="preserve">BONLE</t>
  </si>
  <si>
    <t xml:space="preserve">ESTABLECIMIENTO LOS OLIVOS S.A.</t>
  </si>
  <si>
    <t xml:space="preserve">QUESO</t>
  </si>
  <si>
    <t xml:space="preserve">LIGHT</t>
  </si>
  <si>
    <t xml:space="preserve">GLORIA</t>
  </si>
  <si>
    <t xml:space="preserve">ESTABLECIMIENTO SAN ISIDRO S.A.</t>
  </si>
  <si>
    <t xml:space="preserve">VINO TINTO</t>
  </si>
  <si>
    <t xml:space="preserve">SYRAH BONARDA</t>
  </si>
  <si>
    <t xml:space="preserve">CRUZ DEL SUR</t>
  </si>
  <si>
    <t xml:space="preserve">FECOVITA</t>
  </si>
  <si>
    <t xml:space="preserve">CC</t>
  </si>
  <si>
    <t xml:space="preserve">BEBIDAS</t>
  </si>
  <si>
    <t xml:space="preserve">ALCOHOL ETÍLICO</t>
  </si>
  <si>
    <t xml:space="preserve">96°</t>
  </si>
  <si>
    <t xml:space="preserve">M.F.</t>
  </si>
  <si>
    <t xml:space="preserve">FRADEALCO S.A</t>
  </si>
  <si>
    <t xml:space="preserve">PAN DE MESA</t>
  </si>
  <si>
    <t xml:space="preserve">PAN DE MESA RF 380G LAC</t>
  </si>
  <si>
    <t xml:space="preserve">LACTAL</t>
  </si>
  <si>
    <t xml:space="preserve">GRUPO BIMBO</t>
  </si>
  <si>
    <t xml:space="preserve">PANIFICADOS</t>
  </si>
  <si>
    <t xml:space="preserve">DETERGENTE</t>
  </si>
  <si>
    <t xml:space="preserve">ULTRA LIMON</t>
  </si>
  <si>
    <t xml:space="preserve">VENCEDOR</t>
  </si>
  <si>
    <t xml:space="preserve">GRUPO QUERUCLOR</t>
  </si>
  <si>
    <t xml:space="preserve">LIMPIEZA</t>
  </si>
  <si>
    <t xml:space="preserve">ALGODÓN</t>
  </si>
  <si>
    <t xml:space="preserve">COMÚN</t>
  </si>
  <si>
    <t xml:space="preserve">ESTRELLA</t>
  </si>
  <si>
    <t xml:space="preserve">GRUPO VICENTIN ‐ ALGODONERA AVELLANEDA</t>
  </si>
  <si>
    <t xml:space="preserve">UN</t>
  </si>
  <si>
    <t xml:space="preserve">PERFUMERÍA</t>
  </si>
  <si>
    <t xml:space="preserve">SAL</t>
  </si>
  <si>
    <t xml:space="preserve">GRUESA PAQUETE</t>
  </si>
  <si>
    <t xml:space="preserve">CELUSAL</t>
  </si>
  <si>
    <t xml:space="preserve">INDUSTRIAS QUIMICAS Y MINERAS TIMBO S.A.</t>
  </si>
  <si>
    <t xml:space="preserve">YOGUR ENTERO</t>
  </si>
  <si>
    <t xml:space="preserve">VAINILLA C/CEREAL</t>
  </si>
  <si>
    <t xml:space="preserve">GRAMOS</t>
  </si>
  <si>
    <t xml:space="preserve">MANFREY COOP. DE TAM. DE COM. E IND. LTDA.</t>
  </si>
  <si>
    <t xml:space="preserve">VINAGRE</t>
  </si>
  <si>
    <t xml:space="preserve">DE ALCOHOL</t>
  </si>
  <si>
    <t xml:space="preserve">MENOYO</t>
  </si>
  <si>
    <t xml:space="preserve">MENOYO S.A.</t>
  </si>
  <si>
    <t xml:space="preserve">LECHE</t>
  </si>
  <si>
    <t xml:space="preserve">DESCREMADA LARGA VIDA</t>
  </si>
  <si>
    <t xml:space="preserve">MILKAUT</t>
  </si>
  <si>
    <t xml:space="preserve">LT</t>
  </si>
  <si>
    <t xml:space="preserve">HARINA DE MAIZ</t>
  </si>
  <si>
    <t xml:space="preserve">PRECOCIDA</t>
  </si>
  <si>
    <t xml:space="preserve">BRUNING</t>
  </si>
  <si>
    <t xml:space="preserve">MOLINOS BRUNING SA</t>
  </si>
  <si>
    <t xml:space="preserve">KL</t>
  </si>
  <si>
    <t xml:space="preserve">FIDEOS</t>
  </si>
  <si>
    <t xml:space="preserve">AVE MARIA</t>
  </si>
  <si>
    <t xml:space="preserve">SAN AGUSTIN</t>
  </si>
  <si>
    <t xml:space="preserve">MOLINOS CAÑUELAS</t>
  </si>
  <si>
    <t xml:space="preserve">SERVILLETAS</t>
  </si>
  <si>
    <t xml:space="preserve">ULTRA SERVILLETAS</t>
  </si>
  <si>
    <t xml:space="preserve">SUSSEX</t>
  </si>
  <si>
    <t xml:space="preserve">PAPELERA DEL PLATA</t>
  </si>
  <si>
    <t xml:space="preserve">HAMBURGUESA</t>
  </si>
  <si>
    <t xml:space="preserve">EXPRESS</t>
  </si>
  <si>
    <t xml:space="preserve">PATY</t>
  </si>
  <si>
    <t xml:space="preserve">QUICKFOOD</t>
  </si>
  <si>
    <t xml:space="preserve">CARNES Y PROCESADOS</t>
  </si>
  <si>
    <t xml:space="preserve">SALCHICHAS</t>
  </si>
  <si>
    <t xml:space="preserve">CLÁSICA</t>
  </si>
  <si>
    <t xml:space="preserve">PATYVIENA</t>
  </si>
  <si>
    <t xml:space="preserve">EMBUTIDOS</t>
  </si>
  <si>
    <t xml:space="preserve">JABÓN LÍQUIDO PARA LAVARROPAS</t>
  </si>
  <si>
    <t xml:space="preserve">TODOS LOS DÍAS DOYPACK</t>
  </si>
  <si>
    <t xml:space="preserve">WOOLITE</t>
  </si>
  <si>
    <t xml:space="preserve">RECKITT BENCKISER</t>
  </si>
  <si>
    <t xml:space="preserve">ML</t>
  </si>
  <si>
    <t xml:space="preserve">AGUA SABORIZADA</t>
  </si>
  <si>
    <t xml:space="preserve">MANZANA</t>
  </si>
  <si>
    <t xml:space="preserve">BAGGIO FRESH</t>
  </si>
  <si>
    <t xml:space="preserve">RPB</t>
  </si>
  <si>
    <t xml:space="preserve">JUGOS</t>
  </si>
  <si>
    <t xml:space="preserve">LISTOS FRESH NARANJA DULCE</t>
  </si>
  <si>
    <t xml:space="preserve">BAGGIO</t>
  </si>
  <si>
    <t xml:space="preserve">LIMPIADOR DE INODOROS</t>
  </si>
  <si>
    <t xml:space="preserve">ADHESIVO MAÑANA DE CAMPO</t>
  </si>
  <si>
    <t xml:space="preserve">MR MUSCULO GLADE</t>
  </si>
  <si>
    <t xml:space="preserve">S.C. JOHNSON Y SON DE ARG. S.A.</t>
  </si>
  <si>
    <t xml:space="preserve">LECHE EN POLVO</t>
  </si>
  <si>
    <t xml:space="preserve">LPE 26 % INSTANT.
C/VITAMINAS A 1700 D 320</t>
  </si>
  <si>
    <t xml:space="preserve">PURÍSIMA</t>
  </si>
  <si>
    <t xml:space="preserve">SA LA SIBILA</t>
  </si>
  <si>
    <t xml:space="preserve">MOZARELLA</t>
  </si>
  <si>
    <t xml:space="preserve">BARRA</t>
  </si>
  <si>
    <t xml:space="preserve">LA PAULINA</t>
  </si>
  <si>
    <t xml:space="preserve">SAPUTO / MOLFINO</t>
  </si>
  <si>
    <t xml:space="preserve">QUESO SERRANO</t>
  </si>
  <si>
    <t xml:space="preserve">PORT SALUD LIGTH</t>
  </si>
  <si>
    <t xml:space="preserve">LAIVE</t>
  </si>
  <si>
    <t xml:space="preserve">MAJES</t>
  </si>
  <si>
    <t xml:space="preserve">ARROZ LARGO FINO</t>
  </si>
  <si>
    <t xml:space="preserve">COSTEÑO</t>
  </si>
  <si>
    <t xml:space="preserve">VANGUARDIA</t>
  </si>
  <si>
    <t xml:space="preserve">SEMILLAS Y CEREALES SA</t>
  </si>
  <si>
    <t xml:space="preserve">AZUCAR</t>
  </si>
  <si>
    <t xml:space="preserve">RUBIA</t>
  </si>
  <si>
    <t xml:space="preserve">TERAN</t>
  </si>
  <si>
    <t xml:space="preserve">DESODORANTE MASCULINO</t>
  </si>
  <si>
    <t xml:space="preserve">ROLL ON INVISIBLE</t>
  </si>
  <si>
    <t xml:space="preserve">REXONA</t>
  </si>
  <si>
    <t xml:space="preserve">UNILEVER</t>
  </si>
  <si>
    <t xml:space="preserve">DETERGENTE LIQUIDO</t>
  </si>
  <si>
    <t xml:space="preserve">CREM COLAGENO</t>
  </si>
  <si>
    <t xml:space="preserve">ALA</t>
  </si>
  <si>
    <t xml:space="preserve">LOS CAMPO</t>
  </si>
  <si>
    <t xml:space="preserve">JABON DE TOCADOR</t>
  </si>
  <si>
    <t xml:space="preserve">TE VERDE ALOE VERA</t>
  </si>
  <si>
    <t xml:space="preserve">SUAVE</t>
  </si>
  <si>
    <t xml:space="preserve">LEVERS</t>
  </si>
  <si>
    <t xml:space="preserve">JABÓN EN POLVO</t>
  </si>
  <si>
    <t xml:space="preserve">LAVADO TOTAL</t>
  </si>
  <si>
    <t xml:space="preserve">GRANBY</t>
  </si>
  <si>
    <t xml:space="preserve">LIMPIA TODO</t>
  </si>
  <si>
    <t xml:space="preserve">ENJUAGUE</t>
  </si>
  <si>
    <t xml:space="preserve">MATIC LAVADO TOTAL</t>
  </si>
  <si>
    <t xml:space="preserve">BOLIVAR</t>
  </si>
  <si>
    <t xml:space="preserve">SACA TODO</t>
  </si>
  <si>
    <t xml:space="preserve">LIMPIADOR</t>
  </si>
  <si>
    <t xml:space="preserve">FLORES DE NARANJA CON MICROPARTICULAS</t>
  </si>
  <si>
    <t xml:space="preserve">CIF</t>
  </si>
  <si>
    <t xml:space="preserve">ZAPOLIO</t>
  </si>
  <si>
    <t xml:space="preserve">MAYONESA</t>
  </si>
  <si>
    <t xml:space="preserve">COMUN DOY PACK</t>
  </si>
  <si>
    <t xml:space="preserve">RI‐K MAY</t>
  </si>
  <si>
    <t xml:space="preserve">MOLITALIA</t>
  </si>
  <si>
    <t xml:space="preserve">HISOPOS</t>
  </si>
  <si>
    <t xml:space="preserve">FAMILY</t>
  </si>
  <si>
    <t xml:space="preserve">QSOFT</t>
  </si>
  <si>
    <t xml:space="preserve">PRIFAMON</t>
  </si>
  <si>
    <t xml:space="preserve">LUSTRAMUEBLES</t>
  </si>
  <si>
    <t xml:space="preserve">CREMA</t>
  </si>
  <si>
    <t xml:space="preserve">SUIZA</t>
  </si>
  <si>
    <t xml:space="preserve">CERA SUIZA</t>
  </si>
  <si>
    <t xml:space="preserve">JABÓN</t>
  </si>
  <si>
    <t xml:space="preserve">RELAX DE FLORES CITRICAS</t>
  </si>
  <si>
    <t xml:space="preserve">LIMOL</t>
  </si>
  <si>
    <t xml:space="preserve">ALICORP ARGENTINA S.C.A.</t>
  </si>
  <si>
    <t xml:space="preserve">ARVEJAS</t>
  </si>
  <si>
    <t xml:space="preserve">LATA</t>
  </si>
  <si>
    <t xml:space="preserve">SAN REMO</t>
  </si>
  <si>
    <t xml:space="preserve">YAGUAR S.A.</t>
  </si>
  <si>
    <t xml:space="preserve">DURAZNOS</t>
  </si>
  <si>
    <t xml:space="preserve">EN LATA</t>
  </si>
  <si>
    <t xml:space="preserve">YOGUT S.A.</t>
  </si>
  <si>
    <t xml:space="preserve">MAIZ PISINGALLO</t>
  </si>
  <si>
    <t xml:space="preserve">50 KG</t>
  </si>
  <si>
    <t xml:space="preserve">GALLITO</t>
  </si>
  <si>
    <t xml:space="preserve">MAS GALLO S.A.</t>
  </si>
  <si>
    <t xml:space="preserve">PAN RALLADO</t>
  </si>
  <si>
    <t xml:space="preserve">PAN RALL.SAN REMO 400G</t>
  </si>
  <si>
    <t xml:space="preserve">PANCHO</t>
  </si>
  <si>
    <t xml:space="preserve">DON FRANSISCO S.A.</t>
  </si>
  <si>
    <t xml:space="preserve">PURE DE TOMATES</t>
  </si>
  <si>
    <t xml:space="preserve">BRICK</t>
  </si>
  <si>
    <t xml:space="preserve">LA ROJITA</t>
  </si>
  <si>
    <t xml:space="preserve">LIVES.A.</t>
  </si>
  <si>
    <t xml:space="preserve">LENTEJAS</t>
  </si>
  <si>
    <t xml:space="preserve">GASEOSA</t>
  </si>
  <si>
    <t xml:space="preserve">COLA</t>
  </si>
  <si>
    <t xml:space="preserve">MANAOS</t>
  </si>
  <si>
    <t xml:space="preserve">REFRESH NOW</t>
  </si>
  <si>
    <t xml:space="preserve">ORÉGANO</t>
  </si>
  <si>
    <t xml:space="preserve">EN HOJAS</t>
  </si>
  <si>
    <t xml:space="preserve">DOS ANCLAS</t>
  </si>
  <si>
    <t xml:space="preserve">CIA INTRODUCTORA</t>
  </si>
  <si>
    <t xml:space="preserve">AJÍ MOLIDO</t>
  </si>
  <si>
    <t xml:space="preserve">AJI PICANTE</t>
  </si>
  <si>
    <t xml:space="preserve">LAVAZAPATILLAS</t>
  </si>
  <si>
    <t xml:space="preserve">QUITA TODO</t>
  </si>
  <si>
    <t xml:space="preserve">IBERIA</t>
  </si>
  <si>
    <t xml:space="preserve">INDUSTRIAS PUR S.A.I.C.</t>
  </si>
  <si>
    <t xml:space="preserve">DISCO ANTIPOLILLAS</t>
  </si>
  <si>
    <t xml:space="preserve">DESODORANTE (LAVANDA)</t>
  </si>
  <si>
    <t xml:space="preserve">AIRE PUR</t>
  </si>
  <si>
    <t xml:space="preserve">INDUSTRIAS IBERIA S.A.I.C.</t>
  </si>
  <si>
    <t xml:space="preserve">SHAMPOO</t>
  </si>
  <si>
    <t xml:space="preserve">HIDRATACION NUTRITIVA</t>
  </si>
  <si>
    <t xml:space="preserve">PANTENE</t>
  </si>
  <si>
    <t xml:space="preserve">SINGLE S.A.</t>
  </si>
  <si>
    <t xml:space="preserve">ACONDICIONADOR</t>
  </si>
  <si>
    <t xml:space="preserve">PROTECCION ANTIHUMEDAD</t>
  </si>
  <si>
    <t xml:space="preserve">ALTAMODA</t>
  </si>
  <si>
    <t xml:space="preserve">PRODICOS S.A.</t>
  </si>
  <si>
    <t xml:space="preserve">ESPONJA DE ACERO</t>
  </si>
  <si>
    <t xml:space="preserve">ROLLITO DE ACERO</t>
  </si>
  <si>
    <t xml:space="preserve">VIRULANA</t>
  </si>
  <si>
    <t xml:space="preserve">MAPA VIRULANA S.A.I. Y C.</t>
  </si>
  <si>
    <t xml:space="preserve">KIT LIMPIEZA</t>
  </si>
  <si>
    <t xml:space="preserve">1 ESCOBA DE PISO + 1 CABO METÁLICO</t>
  </si>
  <si>
    <t xml:space="preserve">DANESA S.A.I.</t>
  </si>
  <si>
    <t xml:space="preserve">COLONIA</t>
  </si>
  <si>
    <t xml:space="preserve">BOTELLA</t>
  </si>
  <si>
    <t xml:space="preserve">BABY CHILL</t>
  </si>
  <si>
    <t xml:space="preserve">LABORATORIOS KITY</t>
  </si>
  <si>
    <t xml:space="preserve">OLEO CALCAREO</t>
  </si>
  <si>
    <t xml:space="preserve">HAGGI</t>
  </si>
  <si>
    <t xml:space="preserve">LABORATORIOS WHATER</t>
  </si>
  <si>
    <t xml:space="preserve">TOALLAS HÚMEDAS</t>
  </si>
  <si>
    <t xml:space="preserve">DOY PACK</t>
  </si>
  <si>
    <t xml:space="preserve">BUNNY BABY</t>
  </si>
  <si>
    <t xml:space="preserve">LABORATORIOS SHOW</t>
  </si>
  <si>
    <t xml:space="preserve">ALCOHOL</t>
  </si>
  <si>
    <t xml:space="preserve">GEL DOY PACK</t>
  </si>
  <si>
    <t xml:space="preserve">GERMEX</t>
  </si>
  <si>
    <t xml:space="preserve">LABORATORIOS PRETTY</t>
  </si>
  <si>
    <t xml:space="preserve">JUGO</t>
  </si>
  <si>
    <t xml:space="preserve">ALIMENTO  BAGGIO SOY YO MULTIFR 8X1500</t>
  </si>
  <si>
    <t xml:space="preserve">BAGGIO SOY YO</t>
  </si>
  <si>
    <t xml:space="preserve">SALSA DE SOJA</t>
  </si>
  <si>
    <t xml:space="preserve">MENOYO SA</t>
  </si>
  <si>
    <t xml:space="preserve">ESENCIA DE VAINILLA</t>
  </si>
  <si>
    <t xml:space="preserve">FRASCO PEQUEÑO</t>
  </si>
  <si>
    <t xml:space="preserve">LA NEGRITA</t>
  </si>
  <si>
    <t xml:space="preserve">NEGRITA SA</t>
  </si>
  <si>
    <t xml:space="preserve">CACAO</t>
  </si>
  <si>
    <t xml:space="preserve">CACAO DULCE</t>
  </si>
  <si>
    <t xml:space="preserve">WHITER</t>
  </si>
  <si>
    <t xml:space="preserve">ESTABLECIMIENTO SRL</t>
  </si>
  <si>
    <t xml:space="preserve">GELATINA</t>
  </si>
  <si>
    <t xml:space="preserve">GELATINA ANANA</t>
  </si>
  <si>
    <t xml:space="preserve">RAVANA</t>
  </si>
  <si>
    <t xml:space="preserve">ESTABLECIMIENTO ORLOC SRL</t>
  </si>
  <si>
    <t xml:space="preserve">ROJA</t>
  </si>
  <si>
    <t xml:space="preserve">MAGUI S.A.</t>
  </si>
  <si>
    <t xml:space="preserve">VILDA</t>
  </si>
  <si>
    <t xml:space="preserve">MAYO S.A.</t>
  </si>
  <si>
    <t xml:space="preserve">SALSA BLANCA</t>
  </si>
  <si>
    <t xml:space="preserve">EN POLVO</t>
  </si>
  <si>
    <t xml:space="preserve">SAZONADOR</t>
  </si>
  <si>
    <t xml:space="preserve">SAZO S.A.</t>
  </si>
  <si>
    <t xml:space="preserve">VIDA</t>
  </si>
  <si>
    <t xml:space="preserve">PURIFICS.A.</t>
  </si>
  <si>
    <t xml:space="preserve">HARINA DE TRIGO</t>
  </si>
  <si>
    <t xml:space="preserve">TRES 0</t>
  </si>
  <si>
    <t xml:space="preserve">LA MALVINA</t>
  </si>
  <si>
    <t xml:space="preserve">ICEAR S.A</t>
  </si>
  <si>
    <t xml:space="preserve">AGUA MINERAL NATURAL</t>
  </si>
  <si>
    <t xml:space="preserve">BIDON</t>
  </si>
  <si>
    <t xml:space="preserve">SIERRA DE LOS PADRES</t>
  </si>
  <si>
    <t xml:space="preserve">NUTRECO ALIMENTOS S.A.</t>
  </si>
  <si>
    <t xml:space="preserve">LIMÓN</t>
  </si>
  <si>
    <t xml:space="preserve">HEROE</t>
  </si>
  <si>
    <t xml:space="preserve">FADIAL SRL</t>
  </si>
  <si>
    <t xml:space="preserve">SUAVIZANTE</t>
  </si>
  <si>
    <t xml:space="preserve">BRISA SILVESTRE</t>
  </si>
  <si>
    <t xml:space="preserve">POROTOS</t>
  </si>
  <si>
    <t xml:space="preserve">ALUBIA</t>
  </si>
  <si>
    <t xml:space="preserve">ALIMENTOS PREM S.A.</t>
  </si>
  <si>
    <t xml:space="preserve">TOMATE TRITURADO</t>
  </si>
  <si>
    <t xml:space="preserve">INCA</t>
  </si>
  <si>
    <t xml:space="preserve">ALIMENTOS SALUS.A.</t>
  </si>
  <si>
    <t xml:space="preserve">GALLETITAS</t>
  </si>
  <si>
    <t xml:space="preserve">DULCES  CLASICAS</t>
  </si>
  <si>
    <t xml:space="preserve">VOCACIÓN</t>
  </si>
  <si>
    <t xml:space="preserve">ARCOR</t>
  </si>
  <si>
    <t xml:space="preserve">MERMELADA</t>
  </si>
  <si>
    <t xml:space="preserve">LIGHT FRUTILLA</t>
  </si>
  <si>
    <t xml:space="preserve">NOEL</t>
  </si>
  <si>
    <t xml:space="preserve">PURIFICAR S.A.C</t>
  </si>
  <si>
    <t xml:space="preserve">ENJUAGUE DENTAL</t>
  </si>
  <si>
    <t xml:space="preserve">EN CREMA O GEL</t>
  </si>
  <si>
    <t xml:space="preserve">KOLYNOS</t>
  </si>
  <si>
    <t xml:space="preserve">COLGATE PALMOLIVE S.A.</t>
  </si>
  <si>
    <t xml:space="preserve">LIMPIADOR SACA TOD</t>
  </si>
  <si>
    <t xml:space="preserve">COCINA REPUESTO DOY PACK</t>
  </si>
  <si>
    <t xml:space="preserve">AYUDÍN</t>
  </si>
  <si>
    <t xml:space="preserve">CLOROX ARGENTINA S.A.</t>
  </si>
  <si>
    <t xml:space="preserve">EN AEROSOL</t>
  </si>
  <si>
    <t xml:space="preserve">SAL PARRILLERA</t>
  </si>
  <si>
    <t xml:space="preserve">CIA.INTRODUCTORA BS.AS.</t>
  </si>
  <si>
    <t xml:space="preserve">PICARAS</t>
  </si>
  <si>
    <t xml:space="preserve">GALLETAS COBERTURA DE CHOCLATE</t>
  </si>
  <si>
    <t xml:space="preserve">DULCERS</t>
  </si>
  <si>
    <t xml:space="preserve">DULC S.A.</t>
  </si>
  <si>
    <t xml:space="preserve">FRESCO</t>
  </si>
  <si>
    <t xml:space="preserve">TORTA</t>
  </si>
  <si>
    <t xml:space="preserve">PASTELOVE</t>
  </si>
  <si>
    <t xml:space="preserve">FOOD</t>
  </si>
  <si>
    <t xml:space="preserve">COKKE</t>
  </si>
  <si>
    <t xml:space="preserve">CUBIERTO DE CHOCOLATE</t>
  </si>
  <si>
    <t xml:space="preserve">DARZON</t>
  </si>
  <si>
    <t xml:space="preserve">COOKIE PARTY</t>
  </si>
  <si>
    <t xml:space="preserve">PASTEL</t>
  </si>
  <si>
    <t xml:space="preserve">LIQUIDO DE FRESA</t>
  </si>
  <si>
    <t xml:space="preserve">YULIS</t>
  </si>
  <si>
    <t xml:space="preserve">YUMMI</t>
  </si>
  <si>
    <t xml:space="preserve">COLLAR</t>
  </si>
  <si>
    <t xml:space="preserve">PLATA QUEMADA</t>
  </si>
  <si>
    <t xml:space="preserve">BRILLA</t>
  </si>
  <si>
    <t xml:space="preserve">CAKE BOUTIQUE</t>
  </si>
  <si>
    <t xml:space="preserve">PASTILLAS</t>
  </si>
  <si>
    <t xml:space="preserve">DE CACAO CHOCOLATE</t>
  </si>
  <si>
    <t xml:space="preserve">LIBERICA</t>
  </si>
  <si>
    <t xml:space="preserve">CHOCOLATE LOVERS</t>
  </si>
  <si>
    <t xml:space="preserve">SHAMPOO BABY</t>
  </si>
  <si>
    <t xml:space="preserve">SUAVIZA</t>
  </si>
  <si>
    <t xml:space="preserve">YOSHOM</t>
  </si>
  <si>
    <t xml:space="preserve">HAPPY SOUL</t>
  </si>
  <si>
    <t xml:space="preserve">CREMA DENTAL</t>
  </si>
  <si>
    <t xml:space="preserve">SONRISA PERFECTA</t>
  </si>
  <si>
    <t xml:space="preserve">COLGATE</t>
  </si>
  <si>
    <t xml:space="preserve">SALUD ZEN</t>
  </si>
  <si>
    <t xml:space="preserve">GUILETT</t>
  </si>
  <si>
    <t xml:space="preserve">3 CUCHILLAS</t>
  </si>
  <si>
    <t xml:space="preserve">FUERT</t>
  </si>
  <si>
    <t xml:space="preserve">HEDALS</t>
  </si>
  <si>
    <t xml:space="preserve">GOMITAS</t>
  </si>
  <si>
    <t xml:space="preserve">OSITOS</t>
  </si>
  <si>
    <t xml:space="preserve">BURBLEE</t>
  </si>
  <si>
    <t xml:space="preserve">YUMS</t>
  </si>
  <si>
    <t xml:space="preserve">PAÑALES</t>
  </si>
  <si>
    <t xml:space="preserve">SUAVEZ</t>
  </si>
  <si>
    <t xml:space="preserve">PAMPES</t>
  </si>
  <si>
    <t xml:space="preserve">BEELS</t>
  </si>
  <si>
    <t xml:space="preserve">SAL DE MARA</t>
  </si>
  <si>
    <t xml:space="preserve">GRANOS GRANDES</t>
  </si>
  <si>
    <t xml:space="preserve">MARINA</t>
  </si>
  <si>
    <t xml:space="preserve">LISA S.A</t>
  </si>
  <si>
    <t xml:space="preserve">AVENA</t>
  </si>
  <si>
    <t xml:space="preserve">3 OSITOS</t>
  </si>
  <si>
    <t xml:space="preserve">SSALU S.A</t>
  </si>
  <si>
    <t xml:space="preserve">HILO DENTAL</t>
  </si>
  <si>
    <t xml:space="preserve">DENTO</t>
  </si>
  <si>
    <t xml:space="preserve">FRESH S.A</t>
  </si>
  <si>
    <t xml:space="preserve">AJINOMOTO</t>
  </si>
  <si>
    <t xml:space="preserve">RICO SABOR</t>
  </si>
  <si>
    <t xml:space="preserve">ZASONADORS</t>
  </si>
  <si>
    <t xml:space="preserve">JINOMOT</t>
  </si>
  <si>
    <t xml:space="preserve">CUARNO</t>
  </si>
  <si>
    <t xml:space="preserve">A4</t>
  </si>
  <si>
    <t xml:space="preserve">STANFORD</t>
  </si>
  <si>
    <t xml:space="preserve">HOJAS S.A</t>
  </si>
  <si>
    <t xml:space="preserve">LAPICEROS</t>
  </si>
  <si>
    <t xml:space="preserve">DEFINE BONITO</t>
  </si>
  <si>
    <t xml:space="preserve">PAILONTS</t>
  </si>
  <si>
    <t xml:space="preserve">PINT S.A</t>
  </si>
  <si>
    <t xml:space="preserve">PLUMONES</t>
  </si>
  <si>
    <t xml:space="preserve">DURA TIEMPO</t>
  </si>
  <si>
    <t xml:space="preserve">LAYCONZA</t>
  </si>
  <si>
    <t xml:space="preserve">COLORS S.A</t>
  </si>
  <si>
    <t xml:space="preserve">ACEITE</t>
  </si>
  <si>
    <t xml:space="preserve">NATURAL</t>
  </si>
  <si>
    <t xml:space="preserve">BELLS</t>
  </si>
  <si>
    <t xml:space="preserve">BELLS S.A</t>
  </si>
  <si>
    <t xml:space="preserve">FOSH</t>
  </si>
  <si>
    <t xml:space="preserve">PURO CACAO</t>
  </si>
  <si>
    <t xml:space="preserve">NUGLEE</t>
  </si>
  <si>
    <t xml:space="preserve">NERITA RIC</t>
  </si>
  <si>
    <t xml:space="preserve">HALLS</t>
  </si>
  <si>
    <t xml:space="preserve">FRESCOS</t>
  </si>
  <si>
    <t xml:space="preserve">FUN SHOP</t>
  </si>
  <si>
    <t xml:space="preserve">AMBROSOLI</t>
  </si>
  <si>
    <t xml:space="preserve">LARGO FINO 00001</t>
  </si>
  <si>
    <t xml:space="preserve">S/D</t>
  </si>
  <si>
    <t xml:space="preserve">LPE 26 % INSTANT.
C/VITAMINAS A 1700 D 321</t>
  </si>
  <si>
    <t xml:space="preserve">51 KG</t>
  </si>
  <si>
    <t xml:space="preserve">2 ESCOBA DE PISO + 1 CABO METÁLICO</t>
  </si>
  <si>
    <t xml:space="preserve">ALIMENTO  BAGGIO SOY YO MULTIFR 8X1501</t>
  </si>
  <si>
    <t xml:space="preserve">TRES 1</t>
  </si>
  <si>
    <t xml:space="preserve">4 CUCHILLAS</t>
  </si>
  <si>
    <t xml:space="preserve">4 OSITOS</t>
  </si>
  <si>
    <t xml:space="preserve">A5</t>
  </si>
  <si>
    <t xml:space="preserve">LARGO FINO 00002</t>
  </si>
  <si>
    <t xml:space="preserve">LPE 26 % INSTANT.
C/VITAMINAS A 1700 D 322</t>
  </si>
  <si>
    <t xml:space="preserve">52 KG</t>
  </si>
  <si>
    <t xml:space="preserve">3 ESCOBA DE PISO + 1 CABO METÁLICO</t>
  </si>
  <si>
    <t xml:space="preserve">ALIMENTO  BAGGIO SOY YO MULTIFR 8X1502</t>
  </si>
  <si>
    <t xml:space="preserve">TRES 2</t>
  </si>
  <si>
    <t xml:space="preserve">5 CUCHILLAS</t>
  </si>
  <si>
    <t xml:space="preserve">5 OSITOS</t>
  </si>
  <si>
    <t xml:space="preserve">A6</t>
  </si>
  <si>
    <t xml:space="preserve">LARGO FINO 00003</t>
  </si>
  <si>
    <t xml:space="preserve">LPE 26 % INSTANT.
C/VITAMINAS A 1700 D 323</t>
  </si>
  <si>
    <t xml:space="preserve">53 KG</t>
  </si>
  <si>
    <t xml:space="preserve">4 ESCOBA DE PISO + 1 CABO METÁLICO</t>
  </si>
  <si>
    <t xml:space="preserve">ALIMENTO  BAGGIO SOY YO MULTIFR 8X1503</t>
  </si>
  <si>
    <t xml:space="preserve">TRES 3</t>
  </si>
  <si>
    <t xml:space="preserve">6 CUCHILLAS</t>
  </si>
  <si>
    <t xml:space="preserve">6 OSITOS</t>
  </si>
  <si>
    <t xml:space="preserve">A7</t>
  </si>
  <si>
    <t xml:space="preserve">LARGO FINO 00004</t>
  </si>
  <si>
    <t xml:space="preserve">LPE 26 % INSTANT.
C/VITAMINAS A 1700 D 324</t>
  </si>
  <si>
    <t xml:space="preserve">54 KG</t>
  </si>
  <si>
    <t xml:space="preserve">5 ESCOBA DE PISO + 1 CABO METÁLICO</t>
  </si>
  <si>
    <t xml:space="preserve">ALIMENTO  BAGGIO SOY YO MULTIFR 8X1504</t>
  </si>
  <si>
    <t xml:space="preserve">TRES 4</t>
  </si>
  <si>
    <t xml:space="preserve">7 CUCHILLAS</t>
  </si>
  <si>
    <t xml:space="preserve">7 OSITOS</t>
  </si>
  <si>
    <t xml:space="preserve">A8</t>
  </si>
  <si>
    <t xml:space="preserve">LARGO FINO 00005</t>
  </si>
  <si>
    <t xml:space="preserve">LPE 26 % INSTANT.
C/VITAMINAS A 1700 D 325</t>
  </si>
  <si>
    <t xml:space="preserve">55 KG</t>
  </si>
  <si>
    <t xml:space="preserve">6 ESCOBA DE PISO + 1 CABO METÁLICO</t>
  </si>
  <si>
    <t xml:space="preserve">ALIMENTO  BAGGIO SOY YO MULTIFR 8X1505</t>
  </si>
  <si>
    <t xml:space="preserve">TRES 5</t>
  </si>
  <si>
    <t xml:space="preserve">8 CUCHILLAS</t>
  </si>
  <si>
    <t xml:space="preserve">8 OSITOS</t>
  </si>
  <si>
    <t xml:space="preserve">A9</t>
  </si>
  <si>
    <t xml:space="preserve">LARGO FINO 00006</t>
  </si>
  <si>
    <t xml:space="preserve">LPE 26 % INSTANT.
C/VITAMINAS A 1700 D 326</t>
  </si>
  <si>
    <t xml:space="preserve">56 KG</t>
  </si>
  <si>
    <t xml:space="preserve">7 ESCOBA DE PISO + 1 CABO METÁLICO</t>
  </si>
  <si>
    <t xml:space="preserve">ALIMENTO  BAGGIO SOY YO MULTIFR 8X1506</t>
  </si>
  <si>
    <t xml:space="preserve">TRES 6</t>
  </si>
  <si>
    <t xml:space="preserve">9 CUCHILLAS</t>
  </si>
  <si>
    <t xml:space="preserve">9 OSITOS</t>
  </si>
  <si>
    <t xml:space="preserve">A10</t>
  </si>
  <si>
    <t xml:space="preserve">LARGO FINO 00007</t>
  </si>
  <si>
    <t xml:space="preserve">LPE 26 % INSTANT.
C/VITAMINAS A 1700 D 327</t>
  </si>
  <si>
    <t xml:space="preserve">57 KG</t>
  </si>
  <si>
    <t xml:space="preserve">8 ESCOBA DE PISO + 1 CABO METÁLICO</t>
  </si>
  <si>
    <t xml:space="preserve">ALIMENTO  BAGGIO SOY YO MULTIFR 8X1507</t>
  </si>
  <si>
    <t xml:space="preserve">TRES 7</t>
  </si>
  <si>
    <t xml:space="preserve">10 CUCHILLAS</t>
  </si>
  <si>
    <t xml:space="preserve">10 OSITOS</t>
  </si>
  <si>
    <t xml:space="preserve">A11</t>
  </si>
  <si>
    <t xml:space="preserve">LARGO FINO 00008</t>
  </si>
  <si>
    <t xml:space="preserve">LPE 26 % INSTANT.
C/VITAMINAS A 1700 D 328</t>
  </si>
  <si>
    <t xml:space="preserve">58 KG</t>
  </si>
  <si>
    <t xml:space="preserve">9 ESCOBA DE PISO + 1 CABO METÁLICO</t>
  </si>
  <si>
    <t xml:space="preserve">ALIMENTO  BAGGIO SOY YO MULTIFR 8X1508</t>
  </si>
  <si>
    <t xml:space="preserve">TRES 8</t>
  </si>
  <si>
    <t xml:space="preserve">11 CUCHILLAS</t>
  </si>
  <si>
    <t xml:space="preserve">11 OSITOS</t>
  </si>
  <si>
    <t xml:space="preserve">A12</t>
  </si>
  <si>
    <t xml:space="preserve">LARGO FINO 00009</t>
  </si>
  <si>
    <t xml:space="preserve">LPE 26 % INSTANT.
C/VITAMINAS A 1700 D 329</t>
  </si>
  <si>
    <t xml:space="preserve">59 KG</t>
  </si>
  <si>
    <t xml:space="preserve">10 ESCOBA DE PISO + 1 CABO METÁLICO</t>
  </si>
  <si>
    <t xml:space="preserve">ALIMENTO  BAGGIO SOY YO MULTIFR 8X1509</t>
  </si>
  <si>
    <t xml:space="preserve">TRES 9</t>
  </si>
  <si>
    <t xml:space="preserve">12 CUCHILLAS</t>
  </si>
  <si>
    <t xml:space="preserve">12 OSITOS</t>
  </si>
  <si>
    <t xml:space="preserve">A13</t>
  </si>
  <si>
    <t xml:space="preserve">Cálculos de apoyo del dashboard (no editar: todo son fórmulas sobre la hoja Datos)</t>
  </si>
  <si>
    <t xml:space="preserve">Criterio de año</t>
  </si>
  <si>
    <t xml:space="preserve">Ventas totales (S/)</t>
  </si>
  <si>
    <t xml:space="preserve">N° de ventas</t>
  </si>
  <si>
    <t xml:space="preserve">Ticket promedio (S/)</t>
  </si>
  <si>
    <t xml:space="preserve">% pagado con tarjeta</t>
  </si>
  <si>
    <t xml:space="preserve">Productos distintos vendidos</t>
  </si>
  <si>
    <t xml:space="preserve">Ventas (S/)</t>
  </si>
  <si>
    <t xml:space="preserve">Ene</t>
  </si>
  <si>
    <t xml:space="preserve">Madrugada (0-5 h)</t>
  </si>
  <si>
    <t xml:space="preserve">Feb</t>
  </si>
  <si>
    <t xml:space="preserve">Mañana (6-11 h)</t>
  </si>
  <si>
    <t xml:space="preserve">Mar</t>
  </si>
  <si>
    <t xml:space="preserve">Tarde (12-17 h)</t>
  </si>
  <si>
    <t xml:space="preserve">Abr</t>
  </si>
  <si>
    <t xml:space="preserve">Noche (18-23 h)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</si>
  <si>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</si>
  <si>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</si>
  <si>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</si>
  <si>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</si>
  <si>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</si>
  <si>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</si>
  <si>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</si>
  <si>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</si>
  <si>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N°</t>
  </si>
  <si>
    <t xml:space="preserve">Top 10 productos</t>
  </si>
  <si>
    <t xml:space="preserve">Top 5 proveedores</t>
  </si>
  <si>
    <t xml:space="preserve">Hallazgos</t>
  </si>
  <si>
    <t xml:space="preserve">Auxiliar</t>
  </si>
  <si>
    <t xml:space="preserve">Ranking</t>
  </si>
  <si>
    <t xml:space="preserve">Notas sobre los datos y la limpieza</t>
  </si>
  <si>
    <t xml:space="preserve">1. Fuente: archivo TA04_G09_MascotasBase_de_datos.csv, 996 ventas (hoja Datos).</t>
  </si>
  <si>
    <t xml:space="preserve">2. Los precios y totales venían como texto ("S/3.56"); se convirtieron a números. Todos los totales coinciden con cantidad × precio unitario.</t>
  </si>
  <si>
    <t xml:space="preserve">3. "Limpieza" y "LIMPIEZA" se unificaron en un solo sector; se quitaron espacios sobrantes en producto, proveedor y forma de pago.</t>
  </si>
  <si>
    <t xml:space="preserve">4. Nueve ventas no tenían unidad de medida; se marcaron como "S/D" (sin dato).</t>
  </si>
  <si>
    <t xml:space="preserve">5. Solo hay 5 ventas de 2020; por eso 2021 y 2022 concentran casi todo el análisis.</t>
  </si>
  <si>
    <t xml:space="preserve">6. Las unidades (GR, UN, CC, KG, ML, LT, KL) son distintas, por lo que no se suman cantidades; el análisis usa solo importes en soles.</t>
  </si>
  <si>
    <t xml:space="preserve">7. Columnas Fecha y Franja horaria (hoja Datos) son fórmulas: franja = madrugada 0-5 h, mañana 6-11 h, tarde 12-17 h, noche 18-23 h.</t>
  </si>
  <si>
    <t xml:space="preserve">8. La lista de productos y precios de las columnas T:U del CSV original no se incluyó: es un catálogo de referencia, no ventas.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</si>
</sst>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S/ &quot;#,##0"/>
    <numFmt numFmtId="166" formatCode="#,##0"/>
    <numFmt numFmtId="167" formatCode="&quot;S/ &quot;#,##0.00"/>
    <numFmt numFmtId="168" formatCode="0.0%"/>
    <numFmt numFmtId="169" formatCode="hh:mm:ss"/>
    <numFmt numFmtId="170" formatCode="dd/mm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24"/>
      <color rgb="FF1F3A5F"/>
      <name val="Arial"/>
      <family val="0"/>
      <charset val="1"/>
    </font>
    <font>
      <b val="true"/>
      <sz val="24"/>
      <color rgb="FF2A9D8F"/>
      <name val="Arial"/>
      <family val="0"/>
      <charset val="1"/>
    </font>
    <font>
      <b val="true"/>
      <sz val="24"/>
      <color rgb="FFE9A23B"/>
      <name val="Arial"/>
      <family val="0"/>
      <charset val="1"/>
    </font>
    <font>
      <b val="true"/>
      <sz val="24"/>
      <color rgb="FFD1495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3341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4155"/>
      </patternFill>
    </fill>
    <fill>
      <patternFill patternType="solid">
        <fgColor rgb="FFFFF3C4"/>
        <bgColor rgb="FFFFFF99"/>
      </patternFill>
    </fill>
    <fill>
      <patternFill patternType="solid">
        <fgColor rgb="FFF1F5F9"/>
        <bgColor rgb="FFFFFFFF"/>
      </patternFill>
    </fill>
    <fill>
      <patternFill patternType="solid">
        <fgColor rgb="FFE2E8F0"/>
        <bgColor rgb="FFF1F5F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E9A23B"/>
      </left>
      <right style="thin">
        <color rgb="FFE9A23B"/>
      </right>
      <top style="thin">
        <color rgb="FFE9A23B"/>
      </top>
      <bottom style="thin">
        <color rgb="FFE9A23B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1F3A5F"/>
      </top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2A9D8F"/>
      </top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E9A23B"/>
      </top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D1495B"/>
      </top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1495B"/>
      <rgbColor rgb="FFFFF3C4"/>
      <rgbColor rgb="FFF1F5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9A23B"/>
      <rgbColor rgb="FFFF6600"/>
      <rgbColor rgb="FF64748B"/>
      <rgbColor rgb="FF94A3B8"/>
      <rgbColor rgb="FF1F3A5F"/>
      <rgbColor rgb="FF2A9D8F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mes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Cálculos!$A$12:$A$23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Cálculos!$B$12:$B$23</c:f>
              <c:numCache>
                <c:formatCode>"S/ "#,##0</c:formatCode>
                <c:ptCount val="12"/>
                <c:pt idx="0">
                  <c:v>17409.73</c:v>
                </c:pt>
                <c:pt idx="1">
                  <c:v>18746.64</c:v>
                </c:pt>
                <c:pt idx="2">
                  <c:v>17069.6</c:v>
                </c:pt>
                <c:pt idx="3">
                  <c:v>14869.14</c:v>
                </c:pt>
                <c:pt idx="4">
                  <c:v>18126.88</c:v>
                </c:pt>
                <c:pt idx="5">
                  <c:v>16518.26</c:v>
                </c:pt>
                <c:pt idx="6">
                  <c:v>18755.77</c:v>
                </c:pt>
                <c:pt idx="7">
                  <c:v>17703.31</c:v>
                </c:pt>
                <c:pt idx="8">
                  <c:v>21406.66</c:v>
                </c:pt>
                <c:pt idx="9">
                  <c:v>17206.32</c:v>
                </c:pt>
                <c:pt idx="10">
                  <c:v>21401.51</c:v>
                </c:pt>
                <c:pt idx="11">
                  <c:v>31276.36</c:v>
                </c:pt>
              </c:numCache>
            </c:numRef>
          </c:val>
        </c:ser>
        <c:gapWidth val="60"/>
        <c:overlap val="0"/>
        <c:axId val="24999637"/>
        <c:axId val="42346736"/>
      </c:barChart>
      <c:catAx>
        <c:axId val="24999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46736"/>
        <c:crosses val="autoZero"/>
        <c:auto val="1"/>
        <c:lblAlgn val="ctr"/>
        <c:lblOffset val="100"/>
        <c:noMultiLvlLbl val="0"/>
      </c:catAx>
      <c:valAx>
        <c:axId val="42346736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996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Forma de pago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a5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a23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Cálculos!$G$12:$G$13</c:f>
              <c:strCache>
                <c:ptCount val="2"/>
                <c:pt idx="0">
                  <c:v>EFECTIVO</c:v>
                </c:pt>
                <c:pt idx="1">
                  <c:v>TARJETA</c:v>
                </c:pt>
              </c:strCache>
            </c:strRef>
          </c:cat>
          <c:val>
            <c:numRef>
              <c:f>Cálculos!$H$12:$H$13</c:f>
              <c:numCache>
                <c:formatCode>"S/ "#,##0</c:formatCode>
                <c:ptCount val="2"/>
                <c:pt idx="0">
                  <c:v>208335.05</c:v>
                </c:pt>
                <c:pt idx="1">
                  <c:v>22155.13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sector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Cálculos!$D$12:$D$20</c:f>
              <c:strCache>
                <c:ptCount val="9"/>
                <c:pt idx="0">
                  <c:v>ALMACÉN</c:v>
                </c:pt>
                <c:pt idx="1">
                  <c:v>LIMPIEZA</c:v>
                </c:pt>
                <c:pt idx="2">
                  <c:v>PERFUMERÍA</c:v>
                </c:pt>
                <c:pt idx="3">
                  <c:v>FRESCO</c:v>
                </c:pt>
                <c:pt idx="4">
                  <c:v>LÁCTEOS</c:v>
                </c:pt>
                <c:pt idx="5">
                  <c:v>BEBIDAS</c:v>
                </c:pt>
                <c:pt idx="6">
                  <c:v>CARNES Y PROCESADOS</c:v>
                </c:pt>
                <c:pt idx="7">
                  <c:v>PANIFICADOS</c:v>
                </c:pt>
                <c:pt idx="8">
                  <c:v>EMBUTIDOS</c:v>
                </c:pt>
              </c:strCache>
            </c:strRef>
          </c:cat>
          <c:val>
            <c:numRef>
              <c:f>Cálculos!$E$12:$E$20</c:f>
              <c:numCache>
                <c:formatCode>"S/ "#,##0</c:formatCode>
                <c:ptCount val="9"/>
                <c:pt idx="0">
                  <c:v>77974.14</c:v>
                </c:pt>
                <c:pt idx="1">
                  <c:v>47316.66</c:v>
                </c:pt>
                <c:pt idx="2">
                  <c:v>42533.4</c:v>
                </c:pt>
                <c:pt idx="3">
                  <c:v>33561.46</c:v>
                </c:pt>
                <c:pt idx="4">
                  <c:v>20132.29</c:v>
                </c:pt>
                <c:pt idx="5">
                  <c:v>4659.97</c:v>
                </c:pt>
                <c:pt idx="6">
                  <c:v>1686.42</c:v>
                </c:pt>
                <c:pt idx="7">
                  <c:v>1666.5</c:v>
                </c:pt>
                <c:pt idx="8">
                  <c:v>959.34</c:v>
                </c:pt>
              </c:numCache>
            </c:numRef>
          </c:val>
        </c:ser>
        <c:gapWidth val="60"/>
        <c:overlap val="0"/>
        <c:axId val="59769299"/>
        <c:axId val="78771303"/>
      </c:barChart>
      <c:catAx>
        <c:axId val="597692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71303"/>
        <c:crosses val="autoZero"/>
        <c:auto val="1"/>
        <c:lblAlgn val="ctr"/>
        <c:lblOffset val="100"/>
        <c:noMultiLvlLbl val="0"/>
      </c:catAx>
      <c:valAx>
        <c:axId val="78771303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6929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franja horaria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9a23b"/>
            </a:solidFill>
            <a:ln w="0">
              <a:solidFill>
                <a:srgbClr val="e9a23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Cálculos!$J$12:$J$15</c:f>
              <c:strCache>
                <c:ptCount val="4"/>
                <c:pt idx="0">
                  <c:v>Madrugada (0-5 h)</c:v>
                </c:pt>
                <c:pt idx="1">
                  <c:v>Mañana (6-11 h)</c:v>
                </c:pt>
                <c:pt idx="2">
                  <c:v>Tarde (12-17 h)</c:v>
                </c:pt>
                <c:pt idx="3">
                  <c:v>Noche (18-23 h)</c:v>
                </c:pt>
              </c:strCache>
            </c:strRef>
          </c:cat>
          <c:val>
            <c:numRef>
              <c:f>Cálculos!$K$12:$K$15</c:f>
              <c:numCache>
                <c:formatCode>"S/ "#,##0</c:formatCode>
                <c:ptCount val="4"/>
                <c:pt idx="0">
                  <c:v>47932.11</c:v>
                </c:pt>
                <c:pt idx="1">
                  <c:v>67213.14</c:v>
                </c:pt>
                <c:pt idx="2">
                  <c:v>48484.2</c:v>
                </c:pt>
                <c:pt idx="3">
                  <c:v>66860.73</c:v>
                </c:pt>
              </c:numCache>
            </c:numRef>
          </c:val>
        </c:ser>
        <c:gapWidth val="60"/>
        <c:overlap val="0"/>
        <c:axId val="20339154"/>
        <c:axId val="88561070"/>
      </c:barChart>
      <c:catAx>
        <c:axId val="20339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61070"/>
        <c:crosses val="autoZero"/>
        <c:auto val="1"/>
        <c:lblAlgn val="ctr"/>
        <c:lblOffset val="100"/>
        <c:noMultiLvlLbl val="0"/>
      </c:catAx>
      <c:valAx>
        <c:axId val="88561070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39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productos por ventas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Cálculos!$B$28:$B$37</c:f>
              <c:strCache>
                <c:ptCount val="10"/>
                <c:pt idx="0">
                  <c:v>PASTEL</c:v>
                </c:pt>
                <c:pt idx="1">
                  <c:v>TORTA</c:v>
                </c:pt>
                <c:pt idx="2">
                  <c:v>DETERGENTE</c:v>
                </c:pt>
                <c:pt idx="3">
                  <c:v>LUSTRAMUEBLES</c:v>
                </c:pt>
                <c:pt idx="4">
                  <c:v>COLONIA</c:v>
                </c:pt>
                <c:pt idx="5">
                  <c:v>SUAVIZANTE</c:v>
                </c:pt>
                <c:pt idx="6">
                  <c:v>COLLAR</c:v>
                </c:pt>
                <c:pt idx="7">
                  <c:v>SHAMPOO</c:v>
                </c:pt>
                <c:pt idx="8">
                  <c:v>SHAMPOO BABY</c:v>
                </c:pt>
                <c:pt idx="9">
                  <c:v>DETERGENTE LIQUIDO</c:v>
                </c:pt>
              </c:strCache>
            </c:strRef>
          </c:cat>
          <c:val>
            <c:numRef>
              <c:f>Cálculos!$C$28:$C$37</c:f>
              <c:numCache>
                <c:formatCode>"S/ "#,##0</c:formatCode>
                <c:ptCount val="10"/>
                <c:pt idx="0">
                  <c:v>14683.04</c:v>
                </c:pt>
                <c:pt idx="1">
                  <c:v>13824</c:v>
                </c:pt>
                <c:pt idx="2">
                  <c:v>8404.23</c:v>
                </c:pt>
                <c:pt idx="3">
                  <c:v>7032.45</c:v>
                </c:pt>
                <c:pt idx="4">
                  <c:v>6693.35</c:v>
                </c:pt>
                <c:pt idx="5">
                  <c:v>6439.68</c:v>
                </c:pt>
                <c:pt idx="6">
                  <c:v>5614</c:v>
                </c:pt>
                <c:pt idx="7">
                  <c:v>5420.85</c:v>
                </c:pt>
                <c:pt idx="8">
                  <c:v>5350.17</c:v>
                </c:pt>
                <c:pt idx="9">
                  <c:v>4501.44</c:v>
                </c:pt>
              </c:numCache>
            </c:numRef>
          </c:val>
        </c:ser>
        <c:gapWidth val="60"/>
        <c:overlap val="0"/>
        <c:axId val="91708339"/>
        <c:axId val="89675809"/>
      </c:barChart>
      <c:catAx>
        <c:axId val="9170833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75809"/>
        <c:crosses val="autoZero"/>
        <c:auto val="1"/>
        <c:lblAlgn val="ctr"/>
        <c:lblOffset val="100"/>
        <c:noMultiLvlLbl val="0"/>
      </c:catAx>
      <c:valAx>
        <c:axId val="89675809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0833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proveedores por ventas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d1495b"/>
            </a:solidFill>
            <a:ln w="0">
              <a:solidFill>
                <a:srgbClr val="d1495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Cálculos!$F$28:$F$32</c:f>
              <c:strCache>
                <c:ptCount val="5"/>
                <c:pt idx="0">
                  <c:v>YUMMI</c:v>
                </c:pt>
                <c:pt idx="1">
                  <c:v>FOOD</c:v>
                </c:pt>
                <c:pt idx="2">
                  <c:v>FADIAL SRL</c:v>
                </c:pt>
                <c:pt idx="3">
                  <c:v>CERA SUIZA</c:v>
                </c:pt>
                <c:pt idx="4">
                  <c:v>LABORATORIOS KITY</c:v>
                </c:pt>
              </c:strCache>
            </c:strRef>
          </c:cat>
          <c:val>
            <c:numRef>
              <c:f>Cálculos!$G$28:$G$32</c:f>
              <c:numCache>
                <c:formatCode>"S/ "#,##0</c:formatCode>
                <c:ptCount val="5"/>
                <c:pt idx="0">
                  <c:v>14683.04</c:v>
                </c:pt>
                <c:pt idx="1">
                  <c:v>13824</c:v>
                </c:pt>
                <c:pt idx="2">
                  <c:v>11512.38</c:v>
                </c:pt>
                <c:pt idx="3">
                  <c:v>7032.45</c:v>
                </c:pt>
                <c:pt idx="4">
                  <c:v>6693.35</c:v>
                </c:pt>
              </c:numCache>
            </c:numRef>
          </c:val>
        </c:ser>
        <c:gapWidth val="60"/>
        <c:overlap val="0"/>
        <c:axId val="56137775"/>
        <c:axId val="12598111"/>
      </c:barChart>
      <c:catAx>
        <c:axId val="561377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98111"/>
        <c:crosses val="autoZero"/>
        <c:auto val="1"/>
        <c:lblAlgn val="ctr"/>
        <c:lblOffset val="100"/>
        <c:noMultiLvlLbl val="0"/>
      </c:catAx>
      <c:valAx>
        <c:axId val="12598111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7775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10</xdr:col>
      <xdr:colOff>574920</xdr:colOff>
      <xdr:row>25</xdr:row>
      <xdr:rowOff>187200</xdr:rowOff>
    </xdr:to>
    <xdr:graphicFrame>
      <xdr:nvGraphicFramePr>
        <xdr:cNvPr id="0" name="Chart 1"/>
        <xdr:cNvGraphicFramePr/>
      </xdr:nvGraphicFramePr>
      <xdr:xfrm>
        <a:off x="177840" y="2762280"/>
        <a:ext cx="7775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19</xdr:col>
      <xdr:colOff>383040</xdr:colOff>
      <xdr:row>25</xdr:row>
      <xdr:rowOff>187200</xdr:rowOff>
    </xdr:to>
    <xdr:graphicFrame>
      <xdr:nvGraphicFramePr>
        <xdr:cNvPr id="1" name="Chart 2"/>
        <xdr:cNvGraphicFramePr/>
      </xdr:nvGraphicFramePr>
      <xdr:xfrm>
        <a:off x="9779040" y="2762280"/>
        <a:ext cx="518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9</xdr:col>
      <xdr:colOff>78840</xdr:colOff>
      <xdr:row>41</xdr:row>
      <xdr:rowOff>187200</xdr:rowOff>
    </xdr:to>
    <xdr:graphicFrame>
      <xdr:nvGraphicFramePr>
        <xdr:cNvPr id="2" name="Chart 3"/>
        <xdr:cNvGraphicFramePr/>
      </xdr:nvGraphicFramePr>
      <xdr:xfrm>
        <a:off x="177840" y="5810400"/>
        <a:ext cx="64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19</xdr:col>
      <xdr:colOff>78840</xdr:colOff>
      <xdr:row>41</xdr:row>
      <xdr:rowOff>187200</xdr:rowOff>
    </xdr:to>
    <xdr:graphicFrame>
      <xdr:nvGraphicFramePr>
        <xdr:cNvPr id="3" name="Chart 4"/>
        <xdr:cNvGraphicFramePr/>
      </xdr:nvGraphicFramePr>
      <xdr:xfrm>
        <a:off x="8178840" y="5810400"/>
        <a:ext cx="64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78840</xdr:colOff>
      <xdr:row>57</xdr:row>
      <xdr:rowOff>187200</xdr:rowOff>
    </xdr:to>
    <xdr:graphicFrame>
      <xdr:nvGraphicFramePr>
        <xdr:cNvPr id="4" name="Chart 5"/>
        <xdr:cNvGraphicFramePr/>
      </xdr:nvGraphicFramePr>
      <xdr:xfrm>
        <a:off x="177840" y="8858160"/>
        <a:ext cx="64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44</xdr:row>
      <xdr:rowOff>0</xdr:rowOff>
    </xdr:from>
    <xdr:to>
      <xdr:col>19</xdr:col>
      <xdr:colOff>78840</xdr:colOff>
      <xdr:row>57</xdr:row>
      <xdr:rowOff>187200</xdr:rowOff>
    </xdr:to>
    <xdr:graphicFrame>
      <xdr:nvGraphicFramePr>
        <xdr:cNvPr id="5" name="Chart 6"/>
        <xdr:cNvGraphicFramePr/>
      </xdr:nvGraphicFramePr>
      <xdr:xfrm>
        <a:off x="8178840" y="8858160"/>
        <a:ext cx="64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1:U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9"/>
    <col collapsed="false" customWidth="true" hidden="false" outlineLevel="0" max="22" min="22" style="0" width="2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24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 t="s">
        <v>2</v>
      </c>
      <c r="Q4" s="3"/>
      <c r="R4" s="3"/>
      <c r="S4" s="4" t="s">
        <v>3</v>
      </c>
      <c r="T4" s="4"/>
      <c r="U4" s="4"/>
    </row>
    <row r="6" customFormat="false" ht="19.5" hidden="false" customHeight="true" outlineLevel="0" collapsed="false">
      <c r="B6" s="5" t="s">
        <v>4</v>
      </c>
      <c r="C6" s="5"/>
      <c r="D6" s="5"/>
      <c r="E6" s="5"/>
      <c r="F6" s="5"/>
      <c r="G6" s="6" t="s">
        <v>5</v>
      </c>
      <c r="H6" s="6"/>
      <c r="I6" s="6"/>
      <c r="J6" s="6"/>
      <c r="K6" s="6"/>
      <c r="L6" s="7" t="s">
        <v>6</v>
      </c>
      <c r="M6" s="7"/>
      <c r="N6" s="7"/>
      <c r="O6" s="7"/>
      <c r="P6" s="7"/>
      <c r="Q6" s="8" t="s">
        <v>7</v>
      </c>
      <c r="R6" s="8"/>
      <c r="S6" s="8"/>
      <c r="T6" s="8"/>
      <c r="U6" s="8"/>
    </row>
    <row r="7" customFormat="false" ht="24" hidden="false" customHeight="true" outlineLevel="0" collapsed="false">
      <c r="B7" s="9" t="n">
        <f aca="false">Cálculos!B4</f>
        <v>230490.18</v>
      </c>
      <c r="C7" s="9"/>
      <c r="D7" s="9"/>
      <c r="E7" s="9"/>
      <c r="F7" s="9"/>
      <c r="G7" s="10" t="n">
        <f aca="false">Cálculos!B5</f>
        <v>996</v>
      </c>
      <c r="H7" s="10"/>
      <c r="I7" s="10"/>
      <c r="J7" s="10"/>
      <c r="K7" s="10"/>
      <c r="L7" s="11" t="n">
        <f aca="false">Cálculos!B6</f>
        <v>231.415843373494</v>
      </c>
      <c r="M7" s="11"/>
      <c r="N7" s="11"/>
      <c r="O7" s="11"/>
      <c r="P7" s="11"/>
      <c r="Q7" s="12" t="n">
        <f aca="false">Cálculos!B7</f>
        <v>0.0961217957311674</v>
      </c>
      <c r="R7" s="12"/>
      <c r="S7" s="12"/>
      <c r="T7" s="12"/>
      <c r="U7" s="12"/>
    </row>
    <row r="8" customFormat="false" ht="24" hidden="false" customHeight="true" outlineLevel="0" collapsed="false">
      <c r="B8" s="9"/>
      <c r="C8" s="9"/>
      <c r="D8" s="9"/>
      <c r="E8" s="9"/>
      <c r="F8" s="9"/>
      <c r="G8" s="10"/>
      <c r="H8" s="10"/>
      <c r="I8" s="10"/>
      <c r="J8" s="10"/>
      <c r="K8" s="10"/>
      <c r="L8" s="11"/>
      <c r="M8" s="11"/>
      <c r="N8" s="11"/>
      <c r="O8" s="11"/>
      <c r="P8" s="11"/>
      <c r="Q8" s="12"/>
      <c r="R8" s="12"/>
      <c r="S8" s="12"/>
      <c r="T8" s="12"/>
      <c r="U8" s="12"/>
    </row>
    <row r="9" customFormat="false" ht="19.5" hidden="false" customHeight="true" outlineLevel="0" collapsed="false">
      <c r="B9" s="13" t="str">
        <f aca="false">"Año: "&amp;$S$4</f>
        <v>Año: Todos</v>
      </c>
      <c r="C9" s="13"/>
      <c r="D9" s="13"/>
      <c r="E9" s="13"/>
      <c r="F9" s="13"/>
      <c r="G9" s="13" t="str">
        <f aca="false">"Productos distintos: "&amp;Cálculos!B8</f>
        <v>Productos distintos: 95</v>
      </c>
      <c r="H9" s="13"/>
      <c r="I9" s="13"/>
      <c r="J9" s="13"/>
      <c r="K9" s="13"/>
      <c r="L9" s="13" t="str">
        <f aca="false">"Total / N° de ventas"</f>
        <v>Total / N° de ventas</v>
      </c>
      <c r="M9" s="13"/>
      <c r="N9" s="13"/>
      <c r="O9" s="13"/>
      <c r="P9" s="13"/>
      <c r="Q9" s="13" t="str">
        <f aca="false">"Efectivo: "&amp;TEXT(1-Cálculos!B7,"0.0%")</f>
        <v>Efectivo: 90.4%</v>
      </c>
      <c r="R9" s="13"/>
      <c r="S9" s="13"/>
      <c r="T9" s="13"/>
      <c r="U9" s="13"/>
    </row>
    <row r="10" customFormat="false" ht="7.5" hidden="false" customHeight="true" outlineLevel="0" collapsed="false"/>
    <row r="11" customFormat="false" ht="25.5" hidden="false" customHeight="true" outlineLevel="0" collapsed="false">
      <c r="B11" s="14" t="str">
        <f aca="false">"Sector líder: "&amp;Cálculos!J28&amp;"  (S/ "&amp;TEXT(Cálculos!K28,"#,##0")&amp;")"</f>
        <v>Sector líder: ALMACÉN  (S/ 77,974)</v>
      </c>
      <c r="C11" s="14"/>
      <c r="D11" s="14"/>
      <c r="E11" s="14"/>
      <c r="F11" s="14"/>
      <c r="G11" s="14"/>
      <c r="H11" s="14"/>
      <c r="I11" s="14" t="str">
        <f aca="false">"Mes con más ventas: "&amp;Cálculos!J29&amp;"  (S/ "&amp;TEXT(Cálculos!K29,"#,##0")&amp;")"</f>
        <v>Mes con más ventas: Dic  (S/ 31,276)</v>
      </c>
      <c r="J11" s="14"/>
      <c r="K11" s="14"/>
      <c r="L11" s="14"/>
      <c r="M11" s="14"/>
      <c r="N11" s="14"/>
      <c r="O11" s="14"/>
      <c r="P11" s="14" t="str">
        <f aca="false">"Producto líder: "&amp;Cálculos!J30&amp;"  (S/ "&amp;TEXT(Cálculos!K30,"#,##0")&amp;")"</f>
        <v>Producto líder: PASTEL  (S/ 14,683)</v>
      </c>
      <c r="Q11" s="14"/>
      <c r="R11" s="14"/>
      <c r="S11" s="14"/>
      <c r="T11" s="14"/>
      <c r="U11" s="14"/>
    </row>
    <row r="12" customFormat="false" ht="7.5" hidden="false" customHeight="true" outlineLevel="0" collapsed="false"/>
    <row r="61" customFormat="false" ht="7.5" hidden="false" customHeight="true" outlineLevel="0" collapsed="false"/>
    <row r="62" customFormat="false" ht="15" hidden="false" customHeight="false" outlineLevel="0" collapsed="false">
      <c r="B62" s="15" t="s">
        <v>8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</sheetData>
  <mergeCells count="20">
    <mergeCell ref="B2:U3"/>
    <mergeCell ref="B4:O4"/>
    <mergeCell ref="P4:R4"/>
    <mergeCell ref="S4:U4"/>
    <mergeCell ref="B6:F6"/>
    <mergeCell ref="G6:K6"/>
    <mergeCell ref="L6:P6"/>
    <mergeCell ref="Q6:U6"/>
    <mergeCell ref="B7:F8"/>
    <mergeCell ref="G7:K8"/>
    <mergeCell ref="L7:P8"/>
    <mergeCell ref="Q7:U8"/>
    <mergeCell ref="B9:F9"/>
    <mergeCell ref="G9:K9"/>
    <mergeCell ref="L9:P9"/>
    <mergeCell ref="Q9:U9"/>
    <mergeCell ref="B11:H11"/>
    <mergeCell ref="I11:O11"/>
    <mergeCell ref="P11:U11"/>
    <mergeCell ref="B62:U62"/>
  </mergeCells>
  <dataValidations count="1">
    <dataValidation allowBlank="false" errorStyle="stop" operator="between" prompt="Elija Todos, 2020, 2021 o 2022" promptTitle="Año" showDropDown="false" showErrorMessage="false" showInputMessage="true" sqref="S4" type="list">
      <formula1>"Todos,2020,2021,2022"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R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34"/>
    <col collapsed="false" customWidth="true" hidden="false" outlineLevel="0" max="11" min="11" style="0" width="10"/>
    <col collapsed="false" customWidth="true" hidden="false" outlineLevel="0" max="12" min="12" style="0" width="7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12"/>
    <col collapsed="false" customWidth="true" hidden="false" outlineLevel="0" max="18" min="18" style="0" width="20"/>
  </cols>
  <sheetData>
    <row r="1" customFormat="false" ht="31.5" hidden="false" customHeight="true" outlineLevel="0" collapsed="false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I1" s="16" t="s">
        <v>17</v>
      </c>
      <c r="J1" s="16" t="s">
        <v>18</v>
      </c>
      <c r="K1" s="16" t="s">
        <v>19</v>
      </c>
      <c r="L1" s="16" t="s">
        <v>20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6" t="s">
        <v>26</v>
      </c>
    </row>
    <row r="2" customFormat="false" ht="15" hidden="false" customHeight="false" outlineLevel="0" collapsed="false">
      <c r="A2" s="17" t="n">
        <v>1001</v>
      </c>
      <c r="B2" s="17" t="n">
        <v>27</v>
      </c>
      <c r="C2" s="17" t="n">
        <v>8</v>
      </c>
      <c r="D2" s="17" t="n">
        <v>2020</v>
      </c>
      <c r="E2" s="18" t="n">
        <v>0.880196759259259</v>
      </c>
      <c r="F2" s="17" t="n">
        <v>2727</v>
      </c>
      <c r="G2" s="17" t="s">
        <v>27</v>
      </c>
      <c r="H2" s="17" t="s">
        <v>28</v>
      </c>
      <c r="I2" s="17" t="s">
        <v>29</v>
      </c>
      <c r="J2" s="17" t="s">
        <v>30</v>
      </c>
      <c r="K2" s="17" t="n">
        <v>36</v>
      </c>
      <c r="L2" s="17" t="s">
        <v>31</v>
      </c>
      <c r="M2" s="17" t="s">
        <v>32</v>
      </c>
      <c r="N2" s="19" t="n">
        <v>3.56</v>
      </c>
      <c r="O2" s="19" t="n">
        <v>128.16</v>
      </c>
      <c r="P2" s="17" t="s">
        <v>33</v>
      </c>
      <c r="Q2" s="20" t="n">
        <f aca="false">DATE(D2,C2,B2)</f>
        <v>44070</v>
      </c>
      <c r="R2" s="17" t="str">
        <f aca="false">IF(HOUR(E2)&lt;6,"Madrugada (0-5 h)",IF(HOUR(E2)&lt;12,"Mañana (6-11 h)",IF(HOUR(E2)&lt;18,"Tarde (12-17 h)","Noche (18-23 h)")))</f>
        <v>Noche (18-23 h)</v>
      </c>
    </row>
    <row r="3" customFormat="false" ht="15" hidden="false" customHeight="false" outlineLevel="0" collapsed="false">
      <c r="A3" s="17" t="n">
        <v>1002</v>
      </c>
      <c r="B3" s="17" t="n">
        <v>7</v>
      </c>
      <c r="C3" s="17" t="n">
        <v>1</v>
      </c>
      <c r="D3" s="17" t="n">
        <v>2022</v>
      </c>
      <c r="E3" s="18" t="n">
        <v>0.624768518518519</v>
      </c>
      <c r="F3" s="17" t="n">
        <v>2425</v>
      </c>
      <c r="G3" s="17" t="s">
        <v>34</v>
      </c>
      <c r="H3" s="17" t="s">
        <v>35</v>
      </c>
      <c r="I3" s="17" t="s">
        <v>36</v>
      </c>
      <c r="J3" s="17" t="s">
        <v>37</v>
      </c>
      <c r="K3" s="17" t="n">
        <v>47</v>
      </c>
      <c r="L3" s="17" t="s">
        <v>31</v>
      </c>
      <c r="M3" s="17" t="s">
        <v>32</v>
      </c>
      <c r="N3" s="19" t="n">
        <v>3.21</v>
      </c>
      <c r="O3" s="19" t="n">
        <v>150.87</v>
      </c>
      <c r="P3" s="17" t="s">
        <v>33</v>
      </c>
      <c r="Q3" s="20" t="n">
        <f aca="false">DATE(D3,C3,B3)</f>
        <v>44568</v>
      </c>
      <c r="R3" s="17" t="str">
        <f aca="false">IF(HOUR(E3)&lt;6,"Madrugada (0-5 h)",IF(HOUR(E3)&lt;12,"Mañana (6-11 h)",IF(HOUR(E3)&lt;18,"Tarde (12-17 h)","Noche (18-23 h)")))</f>
        <v>Tarde (12-17 h)</v>
      </c>
    </row>
    <row r="4" customFormat="false" ht="15" hidden="false" customHeight="false" outlineLevel="0" collapsed="false">
      <c r="A4" s="17" t="n">
        <v>1003</v>
      </c>
      <c r="B4" s="17" t="n">
        <v>11</v>
      </c>
      <c r="C4" s="17" t="n">
        <v>3</v>
      </c>
      <c r="D4" s="17" t="n">
        <v>2021</v>
      </c>
      <c r="E4" s="18" t="n">
        <v>0.490428240740741</v>
      </c>
      <c r="F4" s="17" t="n">
        <v>1948</v>
      </c>
      <c r="G4" s="17" t="s">
        <v>38</v>
      </c>
      <c r="H4" s="17" t="s">
        <v>39</v>
      </c>
      <c r="I4" s="17" t="s">
        <v>40</v>
      </c>
      <c r="J4" s="17" t="s">
        <v>41</v>
      </c>
      <c r="K4" s="17" t="n">
        <v>24</v>
      </c>
      <c r="L4" s="17" t="s">
        <v>42</v>
      </c>
      <c r="M4" s="17" t="s">
        <v>32</v>
      </c>
      <c r="N4" s="19" t="n">
        <v>12.36</v>
      </c>
      <c r="O4" s="19" t="n">
        <v>296.64</v>
      </c>
      <c r="P4" s="17" t="s">
        <v>43</v>
      </c>
      <c r="Q4" s="20" t="n">
        <f aca="false">DATE(D4,C4,B4)</f>
        <v>44266</v>
      </c>
      <c r="R4" s="17" t="str">
        <f aca="false">IF(HOUR(E4)&lt;6,"Madrugada (0-5 h)",IF(HOUR(E4)&lt;12,"Mañana (6-11 h)",IF(HOUR(E4)&lt;18,"Tarde (12-17 h)","Noche (18-23 h)")))</f>
        <v>Mañana (6-11 h)</v>
      </c>
    </row>
    <row r="5" customFormat="false" ht="15" hidden="false" customHeight="false" outlineLevel="0" collapsed="false">
      <c r="A5" s="17" t="n">
        <v>1004</v>
      </c>
      <c r="B5" s="17" t="n">
        <v>26</v>
      </c>
      <c r="C5" s="17" t="n">
        <v>8</v>
      </c>
      <c r="D5" s="17" t="n">
        <v>2021</v>
      </c>
      <c r="E5" s="18" t="n">
        <v>0.323831018518519</v>
      </c>
      <c r="F5" s="17" t="n">
        <v>2223</v>
      </c>
      <c r="G5" s="17" t="s">
        <v>44</v>
      </c>
      <c r="H5" s="17" t="s">
        <v>45</v>
      </c>
      <c r="I5" s="17" t="s">
        <v>46</v>
      </c>
      <c r="J5" s="17" t="s">
        <v>47</v>
      </c>
      <c r="K5" s="17" t="n">
        <v>1</v>
      </c>
      <c r="L5" s="17" t="s">
        <v>31</v>
      </c>
      <c r="M5" s="17" t="s">
        <v>48</v>
      </c>
      <c r="N5" s="19" t="n">
        <v>10.03</v>
      </c>
      <c r="O5" s="19" t="n">
        <v>10.03</v>
      </c>
      <c r="P5" s="17" t="s">
        <v>33</v>
      </c>
      <c r="Q5" s="20" t="n">
        <f aca="false">DATE(D5,C5,B5)</f>
        <v>44434</v>
      </c>
      <c r="R5" s="17" t="str">
        <f aca="false">IF(HOUR(E5)&lt;6,"Madrugada (0-5 h)",IF(HOUR(E5)&lt;12,"Mañana (6-11 h)",IF(HOUR(E5)&lt;18,"Tarde (12-17 h)","Noche (18-23 h)")))</f>
        <v>Mañana (6-11 h)</v>
      </c>
    </row>
    <row r="6" customFormat="false" ht="15" hidden="false" customHeight="false" outlineLevel="0" collapsed="false">
      <c r="A6" s="17" t="n">
        <v>1005</v>
      </c>
      <c r="B6" s="17" t="n">
        <v>3</v>
      </c>
      <c r="C6" s="17" t="n">
        <v>12</v>
      </c>
      <c r="D6" s="17" t="n">
        <v>2021</v>
      </c>
      <c r="E6" s="18" t="n">
        <v>0.263703703703704</v>
      </c>
      <c r="F6" s="17" t="n">
        <v>1541</v>
      </c>
      <c r="G6" s="17" t="s">
        <v>49</v>
      </c>
      <c r="H6" s="17" t="s">
        <v>50</v>
      </c>
      <c r="I6" s="17" t="s">
        <v>51</v>
      </c>
      <c r="J6" s="17" t="s">
        <v>52</v>
      </c>
      <c r="K6" s="17" t="n">
        <v>6</v>
      </c>
      <c r="L6" s="17" t="s">
        <v>31</v>
      </c>
      <c r="M6" s="17" t="s">
        <v>48</v>
      </c>
      <c r="N6" s="19" t="n">
        <v>16.05</v>
      </c>
      <c r="O6" s="19" t="n">
        <v>96.3</v>
      </c>
      <c r="P6" s="17" t="s">
        <v>33</v>
      </c>
      <c r="Q6" s="20" t="n">
        <f aca="false">DATE(D6,C6,B6)</f>
        <v>44533</v>
      </c>
      <c r="R6" s="17" t="str">
        <f aca="false">IF(HOUR(E6)&lt;6,"Madrugada (0-5 h)",IF(HOUR(E6)&lt;12,"Mañana (6-11 h)",IF(HOUR(E6)&lt;18,"Tarde (12-17 h)","Noche (18-23 h)")))</f>
        <v>Mañana (6-11 h)</v>
      </c>
    </row>
    <row r="7" customFormat="false" ht="15" hidden="false" customHeight="false" outlineLevel="0" collapsed="false">
      <c r="A7" s="17" t="n">
        <v>1006</v>
      </c>
      <c r="B7" s="17" t="n">
        <v>22</v>
      </c>
      <c r="C7" s="17" t="n">
        <v>9</v>
      </c>
      <c r="D7" s="17" t="n">
        <v>2022</v>
      </c>
      <c r="E7" s="18" t="n">
        <v>0.688310185185185</v>
      </c>
      <c r="F7" s="17" t="n">
        <v>1040</v>
      </c>
      <c r="G7" s="17" t="s">
        <v>53</v>
      </c>
      <c r="H7" s="17" t="s">
        <v>54</v>
      </c>
      <c r="I7" s="17" t="s">
        <v>55</v>
      </c>
      <c r="J7" s="17" t="s">
        <v>56</v>
      </c>
      <c r="K7" s="17" t="n">
        <v>3</v>
      </c>
      <c r="L7" s="17" t="s">
        <v>31</v>
      </c>
      <c r="M7" s="17" t="s">
        <v>48</v>
      </c>
      <c r="N7" s="19" t="n">
        <v>16.5</v>
      </c>
      <c r="O7" s="19" t="n">
        <v>49.5</v>
      </c>
      <c r="P7" s="17" t="s">
        <v>33</v>
      </c>
      <c r="Q7" s="20" t="n">
        <f aca="false">DATE(D7,C7,B7)</f>
        <v>44826</v>
      </c>
      <c r="R7" s="17" t="str">
        <f aca="false">IF(HOUR(E7)&lt;6,"Madrugada (0-5 h)",IF(HOUR(E7)&lt;12,"Mañana (6-11 h)",IF(HOUR(E7)&lt;18,"Tarde (12-17 h)","Noche (18-23 h)")))</f>
        <v>Tarde (12-17 h)</v>
      </c>
    </row>
    <row r="8" customFormat="false" ht="15" hidden="false" customHeight="false" outlineLevel="0" collapsed="false">
      <c r="A8" s="17" t="n">
        <v>1007</v>
      </c>
      <c r="B8" s="17" t="n">
        <v>11</v>
      </c>
      <c r="C8" s="17" t="n">
        <v>6</v>
      </c>
      <c r="D8" s="17" t="n">
        <v>2021</v>
      </c>
      <c r="E8" s="18" t="n">
        <v>0.0581597222222222</v>
      </c>
      <c r="F8" s="17" t="n">
        <v>4010</v>
      </c>
      <c r="G8" s="17" t="s">
        <v>57</v>
      </c>
      <c r="H8" s="17" t="s">
        <v>58</v>
      </c>
      <c r="I8" s="17" t="s">
        <v>59</v>
      </c>
      <c r="J8" s="17" t="s">
        <v>60</v>
      </c>
      <c r="K8" s="17" t="n">
        <v>29</v>
      </c>
      <c r="L8" s="17" t="s">
        <v>61</v>
      </c>
      <c r="M8" s="17" t="s">
        <v>62</v>
      </c>
      <c r="N8" s="19" t="n">
        <v>4.13</v>
      </c>
      <c r="O8" s="19" t="n">
        <v>119.77</v>
      </c>
      <c r="P8" s="17" t="s">
        <v>43</v>
      </c>
      <c r="Q8" s="20" t="n">
        <f aca="false">DATE(D8,C8,B8)</f>
        <v>44358</v>
      </c>
      <c r="R8" s="17" t="str">
        <f aca="false">IF(HOUR(E8)&lt;6,"Madrugada (0-5 h)",IF(HOUR(E8)&lt;12,"Mañana (6-11 h)",IF(HOUR(E8)&lt;18,"Tarde (12-17 h)","Noche (18-23 h)")))</f>
        <v>Madrugada (0-5 h)</v>
      </c>
    </row>
    <row r="9" customFormat="false" ht="15" hidden="false" customHeight="false" outlineLevel="0" collapsed="false">
      <c r="A9" s="17" t="n">
        <v>1008</v>
      </c>
      <c r="B9" s="17" t="n">
        <v>1</v>
      </c>
      <c r="C9" s="17" t="n">
        <v>11</v>
      </c>
      <c r="D9" s="17" t="n">
        <v>2021</v>
      </c>
      <c r="E9" s="18" t="n">
        <v>0.987951388888889</v>
      </c>
      <c r="F9" s="17" t="n">
        <v>2260</v>
      </c>
      <c r="G9" s="17" t="s">
        <v>63</v>
      </c>
      <c r="H9" s="17" t="s">
        <v>64</v>
      </c>
      <c r="I9" s="17" t="s">
        <v>65</v>
      </c>
      <c r="J9" s="17" t="s">
        <v>66</v>
      </c>
      <c r="K9" s="17" t="n">
        <v>50</v>
      </c>
      <c r="L9" s="17" t="s">
        <v>61</v>
      </c>
      <c r="M9" s="17" t="s">
        <v>32</v>
      </c>
      <c r="N9" s="19" t="n">
        <v>11.5</v>
      </c>
      <c r="O9" s="19" t="n">
        <v>575</v>
      </c>
      <c r="P9" s="17" t="s">
        <v>33</v>
      </c>
      <c r="Q9" s="20" t="n">
        <f aca="false">DATE(D9,C9,B9)</f>
        <v>44501</v>
      </c>
      <c r="R9" s="17" t="str">
        <f aca="false">IF(HOUR(E9)&lt;6,"Madrugada (0-5 h)",IF(HOUR(E9)&lt;12,"Mañana (6-11 h)",IF(HOUR(E9)&lt;18,"Tarde (12-17 h)","Noche (18-23 h)")))</f>
        <v>Noche (18-23 h)</v>
      </c>
    </row>
    <row r="10" customFormat="false" ht="15" hidden="false" customHeight="false" outlineLevel="0" collapsed="false">
      <c r="A10" s="17" t="n">
        <v>1009</v>
      </c>
      <c r="B10" s="17" t="n">
        <v>28</v>
      </c>
      <c r="C10" s="17" t="n">
        <v>6</v>
      </c>
      <c r="D10" s="17" t="n">
        <v>2022</v>
      </c>
      <c r="E10" s="18" t="n">
        <v>0.193877314814815</v>
      </c>
      <c r="F10" s="17" t="n">
        <v>3383</v>
      </c>
      <c r="G10" s="17" t="s">
        <v>67</v>
      </c>
      <c r="H10" s="17" t="s">
        <v>68</v>
      </c>
      <c r="I10" s="17" t="s">
        <v>69</v>
      </c>
      <c r="J10" s="17" t="s">
        <v>70</v>
      </c>
      <c r="K10" s="17" t="n">
        <v>37</v>
      </c>
      <c r="L10" s="17" t="s">
        <v>31</v>
      </c>
      <c r="M10" s="17" t="s">
        <v>71</v>
      </c>
      <c r="N10" s="19" t="n">
        <v>5.5</v>
      </c>
      <c r="O10" s="19" t="n">
        <v>203.5</v>
      </c>
      <c r="P10" s="17" t="s">
        <v>33</v>
      </c>
      <c r="Q10" s="20" t="n">
        <f aca="false">DATE(D10,C10,B10)</f>
        <v>44740</v>
      </c>
      <c r="R10" s="17" t="str">
        <f aca="false">IF(HOUR(E10)&lt;6,"Madrugada (0-5 h)",IF(HOUR(E10)&lt;12,"Mañana (6-11 h)",IF(HOUR(E10)&lt;18,"Tarde (12-17 h)","Noche (18-23 h)")))</f>
        <v>Madrugada (0-5 h)</v>
      </c>
    </row>
    <row r="11" customFormat="false" ht="15" hidden="false" customHeight="false" outlineLevel="0" collapsed="false">
      <c r="A11" s="17" t="n">
        <v>1010</v>
      </c>
      <c r="B11" s="17" t="n">
        <v>23</v>
      </c>
      <c r="C11" s="17" t="n">
        <v>9</v>
      </c>
      <c r="D11" s="17" t="n">
        <v>2021</v>
      </c>
      <c r="E11" s="18" t="n">
        <v>0.0113773148148148</v>
      </c>
      <c r="F11" s="17" t="n">
        <v>2932</v>
      </c>
      <c r="G11" s="17" t="s">
        <v>72</v>
      </c>
      <c r="H11" s="17" t="s">
        <v>73</v>
      </c>
      <c r="I11" s="17" t="s">
        <v>74</v>
      </c>
      <c r="J11" s="17" t="s">
        <v>75</v>
      </c>
      <c r="K11" s="17" t="n">
        <v>13</v>
      </c>
      <c r="L11" s="17" t="s">
        <v>61</v>
      </c>
      <c r="M11" s="17" t="s">
        <v>76</v>
      </c>
      <c r="N11" s="19" t="n">
        <v>13.71</v>
      </c>
      <c r="O11" s="19" t="n">
        <v>178.23</v>
      </c>
      <c r="P11" s="17" t="s">
        <v>33</v>
      </c>
      <c r="Q11" s="20" t="n">
        <f aca="false">DATE(D11,C11,B11)</f>
        <v>44462</v>
      </c>
      <c r="R11" s="17" t="str">
        <f aca="false">IF(HOUR(E11)&lt;6,"Madrugada (0-5 h)",IF(HOUR(E11)&lt;12,"Mañana (6-11 h)",IF(HOUR(E11)&lt;18,"Tarde (12-17 h)","Noche (18-23 h)")))</f>
        <v>Madrugada (0-5 h)</v>
      </c>
    </row>
    <row r="12" customFormat="false" ht="15" hidden="false" customHeight="false" outlineLevel="0" collapsed="false">
      <c r="A12" s="17" t="n">
        <v>1011</v>
      </c>
      <c r="B12" s="17" t="n">
        <v>5</v>
      </c>
      <c r="C12" s="17" t="n">
        <v>6</v>
      </c>
      <c r="D12" s="17" t="n">
        <v>2021</v>
      </c>
      <c r="E12" s="18" t="n">
        <v>0.0912847222222222</v>
      </c>
      <c r="F12" s="17" t="n">
        <v>4924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n">
        <v>32</v>
      </c>
      <c r="L12" s="17" t="s">
        <v>81</v>
      </c>
      <c r="M12" s="17" t="s">
        <v>82</v>
      </c>
      <c r="N12" s="19" t="n">
        <v>7.89</v>
      </c>
      <c r="O12" s="19" t="n">
        <v>252.48</v>
      </c>
      <c r="P12" s="17" t="s">
        <v>33</v>
      </c>
      <c r="Q12" s="20" t="n">
        <f aca="false">DATE(D12,C12,B12)</f>
        <v>44352</v>
      </c>
      <c r="R12" s="17" t="str">
        <f aca="false">IF(HOUR(E12)&lt;6,"Madrugada (0-5 h)",IF(HOUR(E12)&lt;12,"Mañana (6-11 h)",IF(HOUR(E12)&lt;18,"Tarde (12-17 h)","Noche (18-23 h)")))</f>
        <v>Madrugada (0-5 h)</v>
      </c>
    </row>
    <row r="13" customFormat="false" ht="15" hidden="false" customHeight="false" outlineLevel="0" collapsed="false">
      <c r="A13" s="17" t="n">
        <v>1012</v>
      </c>
      <c r="B13" s="17" t="n">
        <v>15</v>
      </c>
      <c r="C13" s="17" t="n">
        <v>9</v>
      </c>
      <c r="D13" s="17" t="n">
        <v>2021</v>
      </c>
      <c r="E13" s="18" t="n">
        <v>0.73212962962963</v>
      </c>
      <c r="F13" s="17" t="n">
        <v>2036</v>
      </c>
      <c r="G13" s="17" t="s">
        <v>83</v>
      </c>
      <c r="H13" s="17" t="s">
        <v>84</v>
      </c>
      <c r="I13" s="17" t="s">
        <v>85</v>
      </c>
      <c r="J13" s="17" t="s">
        <v>86</v>
      </c>
      <c r="K13" s="17" t="n">
        <v>13</v>
      </c>
      <c r="L13" s="17" t="s">
        <v>42</v>
      </c>
      <c r="M13" s="17" t="s">
        <v>32</v>
      </c>
      <c r="N13" s="19" t="n">
        <v>6</v>
      </c>
      <c r="O13" s="19" t="n">
        <v>78</v>
      </c>
      <c r="P13" s="17" t="s">
        <v>43</v>
      </c>
      <c r="Q13" s="20" t="n">
        <f aca="false">DATE(D13,C13,B13)</f>
        <v>44454</v>
      </c>
      <c r="R13" s="17" t="str">
        <f aca="false">IF(HOUR(E13)&lt;6,"Madrugada (0-5 h)",IF(HOUR(E13)&lt;12,"Mañana (6-11 h)",IF(HOUR(E13)&lt;18,"Tarde (12-17 h)","Noche (18-23 h)")))</f>
        <v>Tarde (12-17 h)</v>
      </c>
    </row>
    <row r="14" customFormat="false" ht="15" hidden="false" customHeight="false" outlineLevel="0" collapsed="false">
      <c r="A14" s="17" t="n">
        <v>1013</v>
      </c>
      <c r="B14" s="17" t="n">
        <v>15</v>
      </c>
      <c r="C14" s="17" t="n">
        <v>11</v>
      </c>
      <c r="D14" s="17" t="n">
        <v>2021</v>
      </c>
      <c r="E14" s="18" t="n">
        <v>0.378310185185185</v>
      </c>
      <c r="F14" s="17" t="n">
        <v>1528</v>
      </c>
      <c r="G14" s="17" t="s">
        <v>87</v>
      </c>
      <c r="H14" s="17" t="s">
        <v>88</v>
      </c>
      <c r="I14" s="17" t="s">
        <v>89</v>
      </c>
      <c r="J14" s="17" t="s">
        <v>90</v>
      </c>
      <c r="K14" s="17" t="n">
        <v>11</v>
      </c>
      <c r="L14" s="17" t="s">
        <v>31</v>
      </c>
      <c r="M14" s="17" t="s">
        <v>48</v>
      </c>
      <c r="N14" s="19" t="n">
        <v>13.54</v>
      </c>
      <c r="O14" s="19" t="n">
        <v>148.94</v>
      </c>
      <c r="P14" s="17" t="s">
        <v>33</v>
      </c>
      <c r="Q14" s="20" t="n">
        <f aca="false">DATE(D14,C14,B14)</f>
        <v>44515</v>
      </c>
      <c r="R14" s="17" t="str">
        <f aca="false">IF(HOUR(E14)&lt;6,"Madrugada (0-5 h)",IF(HOUR(E14)&lt;12,"Mañana (6-11 h)",IF(HOUR(E14)&lt;18,"Tarde (12-17 h)","Noche (18-23 h)")))</f>
        <v>Mañana (6-11 h)</v>
      </c>
    </row>
    <row r="15" customFormat="false" ht="15" hidden="false" customHeight="false" outlineLevel="0" collapsed="false">
      <c r="A15" s="17" t="n">
        <v>1014</v>
      </c>
      <c r="B15" s="17" t="n">
        <v>11</v>
      </c>
      <c r="C15" s="17" t="n">
        <v>9</v>
      </c>
      <c r="D15" s="17" t="n">
        <v>2022</v>
      </c>
      <c r="E15" s="18" t="n">
        <v>0.311678240740741</v>
      </c>
      <c r="F15" s="17" t="n">
        <v>2239</v>
      </c>
      <c r="G15" s="17" t="s">
        <v>91</v>
      </c>
      <c r="H15" s="17" t="s">
        <v>92</v>
      </c>
      <c r="I15" s="17" t="s">
        <v>93</v>
      </c>
      <c r="J15" s="17" t="s">
        <v>94</v>
      </c>
      <c r="K15" s="17" t="n">
        <v>35</v>
      </c>
      <c r="L15" s="17" t="s">
        <v>61</v>
      </c>
      <c r="M15" s="17" t="s">
        <v>32</v>
      </c>
      <c r="N15" s="19" t="n">
        <v>4.12</v>
      </c>
      <c r="O15" s="19" t="n">
        <v>144.2</v>
      </c>
      <c r="P15" s="17" t="s">
        <v>33</v>
      </c>
      <c r="Q15" s="20" t="n">
        <f aca="false">DATE(D15,C15,B15)</f>
        <v>44815</v>
      </c>
      <c r="R15" s="17" t="str">
        <f aca="false">IF(HOUR(E15)&lt;6,"Madrugada (0-5 h)",IF(HOUR(E15)&lt;12,"Mañana (6-11 h)",IF(HOUR(E15)&lt;18,"Tarde (12-17 h)","Noche (18-23 h)")))</f>
        <v>Mañana (6-11 h)</v>
      </c>
    </row>
    <row r="16" customFormat="false" ht="15" hidden="false" customHeight="false" outlineLevel="0" collapsed="false">
      <c r="A16" s="17" t="n">
        <v>1015</v>
      </c>
      <c r="B16" s="17" t="n">
        <v>24</v>
      </c>
      <c r="C16" s="17" t="n">
        <v>2</v>
      </c>
      <c r="D16" s="17" t="n">
        <v>2022</v>
      </c>
      <c r="E16" s="18" t="n">
        <v>0.256273148148148</v>
      </c>
      <c r="F16" s="17" t="n">
        <v>4616</v>
      </c>
      <c r="G16" s="17" t="s">
        <v>95</v>
      </c>
      <c r="H16" s="17" t="s">
        <v>96</v>
      </c>
      <c r="I16" s="17" t="s">
        <v>97</v>
      </c>
      <c r="J16" s="17" t="s">
        <v>97</v>
      </c>
      <c r="K16" s="17" t="n">
        <v>18</v>
      </c>
      <c r="L16" s="17" t="s">
        <v>98</v>
      </c>
      <c r="M16" s="17" t="s">
        <v>48</v>
      </c>
      <c r="N16" s="19" t="n">
        <v>4.33</v>
      </c>
      <c r="O16" s="19" t="n">
        <v>77.94</v>
      </c>
      <c r="P16" s="17" t="s">
        <v>33</v>
      </c>
      <c r="Q16" s="20" t="n">
        <f aca="false">DATE(D16,C16,B16)</f>
        <v>44616</v>
      </c>
      <c r="R16" s="17" t="str">
        <f aca="false">IF(HOUR(E16)&lt;6,"Madrugada (0-5 h)",IF(HOUR(E16)&lt;12,"Mañana (6-11 h)",IF(HOUR(E16)&lt;18,"Tarde (12-17 h)","Noche (18-23 h)")))</f>
        <v>Mañana (6-11 h)</v>
      </c>
    </row>
    <row r="17" customFormat="false" ht="15" hidden="false" customHeight="false" outlineLevel="0" collapsed="false">
      <c r="A17" s="17" t="n">
        <v>1016</v>
      </c>
      <c r="B17" s="17" t="n">
        <v>3</v>
      </c>
      <c r="C17" s="17" t="n">
        <v>9</v>
      </c>
      <c r="D17" s="17" t="n">
        <v>2022</v>
      </c>
      <c r="E17" s="18" t="n">
        <v>0.684259259259259</v>
      </c>
      <c r="F17" s="17" t="n">
        <v>2180</v>
      </c>
      <c r="G17" s="17" t="s">
        <v>99</v>
      </c>
      <c r="H17" s="17" t="s">
        <v>100</v>
      </c>
      <c r="I17" s="17" t="s">
        <v>101</v>
      </c>
      <c r="J17" s="17" t="s">
        <v>102</v>
      </c>
      <c r="K17" s="17" t="n">
        <v>22</v>
      </c>
      <c r="L17" s="17" t="s">
        <v>103</v>
      </c>
      <c r="M17" s="17" t="s">
        <v>32</v>
      </c>
      <c r="N17" s="19" t="n">
        <v>6.97</v>
      </c>
      <c r="O17" s="19" t="n">
        <v>153.34</v>
      </c>
      <c r="P17" s="17" t="s">
        <v>43</v>
      </c>
      <c r="Q17" s="20" t="n">
        <f aca="false">DATE(D17,C17,B17)</f>
        <v>44807</v>
      </c>
      <c r="R17" s="17" t="str">
        <f aca="false">IF(HOUR(E17)&lt;6,"Madrugada (0-5 h)",IF(HOUR(E17)&lt;12,"Mañana (6-11 h)",IF(HOUR(E17)&lt;18,"Tarde (12-17 h)","Noche (18-23 h)")))</f>
        <v>Tarde (12-17 h)</v>
      </c>
    </row>
    <row r="18" customFormat="false" ht="15" hidden="false" customHeight="false" outlineLevel="0" collapsed="false">
      <c r="A18" s="17" t="n">
        <v>1017</v>
      </c>
      <c r="B18" s="17" t="n">
        <v>6</v>
      </c>
      <c r="C18" s="17" t="n">
        <v>6</v>
      </c>
      <c r="D18" s="17" t="n">
        <v>2022</v>
      </c>
      <c r="E18" s="18" t="n">
        <v>0.545092592592593</v>
      </c>
      <c r="F18" s="17" t="n">
        <v>1428</v>
      </c>
      <c r="G18" s="17" t="s">
        <v>104</v>
      </c>
      <c r="H18" s="17" t="s">
        <v>105</v>
      </c>
      <c r="I18" s="17" t="s">
        <v>106</v>
      </c>
      <c r="J18" s="17" t="s">
        <v>107</v>
      </c>
      <c r="K18" s="17" t="n">
        <v>37</v>
      </c>
      <c r="L18" s="17" t="s">
        <v>31</v>
      </c>
      <c r="M18" s="17" t="s">
        <v>32</v>
      </c>
      <c r="N18" s="19" t="n">
        <v>4.45</v>
      </c>
      <c r="O18" s="19" t="n">
        <v>164.65</v>
      </c>
      <c r="P18" s="17" t="s">
        <v>33</v>
      </c>
      <c r="Q18" s="20" t="n">
        <f aca="false">DATE(D18,C18,B18)</f>
        <v>44718</v>
      </c>
      <c r="R18" s="17" t="str">
        <f aca="false">IF(HOUR(E18)&lt;6,"Madrugada (0-5 h)",IF(HOUR(E18)&lt;12,"Mañana (6-11 h)",IF(HOUR(E18)&lt;18,"Tarde (12-17 h)","Noche (18-23 h)")))</f>
        <v>Tarde (12-17 h)</v>
      </c>
    </row>
    <row r="19" customFormat="false" ht="15" hidden="false" customHeight="false" outlineLevel="0" collapsed="false">
      <c r="A19" s="17" t="n">
        <v>1018</v>
      </c>
      <c r="B19" s="17" t="n">
        <v>5</v>
      </c>
      <c r="C19" s="17" t="n">
        <v>6</v>
      </c>
      <c r="D19" s="17" t="n">
        <v>2022</v>
      </c>
      <c r="E19" s="18" t="n">
        <v>0.24587962962963</v>
      </c>
      <c r="F19" s="17" t="n">
        <v>4986</v>
      </c>
      <c r="G19" s="17" t="s">
        <v>108</v>
      </c>
      <c r="H19" s="17" t="s">
        <v>109</v>
      </c>
      <c r="I19" s="17" t="s">
        <v>110</v>
      </c>
      <c r="J19" s="17" t="s">
        <v>111</v>
      </c>
      <c r="K19" s="17" t="n">
        <v>37</v>
      </c>
      <c r="L19" s="17" t="s">
        <v>81</v>
      </c>
      <c r="M19" s="17" t="s">
        <v>82</v>
      </c>
      <c r="N19" s="19" t="n">
        <v>6.5</v>
      </c>
      <c r="O19" s="19" t="n">
        <v>240.5</v>
      </c>
      <c r="P19" s="17" t="s">
        <v>43</v>
      </c>
      <c r="Q19" s="20" t="n">
        <f aca="false">DATE(D19,C19,B19)</f>
        <v>44717</v>
      </c>
      <c r="R19" s="17" t="str">
        <f aca="false">IF(HOUR(E19)&lt;6,"Madrugada (0-5 h)",IF(HOUR(E19)&lt;12,"Mañana (6-11 h)",IF(HOUR(E19)&lt;18,"Tarde (12-17 h)","Noche (18-23 h)")))</f>
        <v>Madrugada (0-5 h)</v>
      </c>
    </row>
    <row r="20" customFormat="false" ht="15" hidden="false" customHeight="false" outlineLevel="0" collapsed="false">
      <c r="A20" s="17" t="n">
        <v>1019</v>
      </c>
      <c r="B20" s="17" t="n">
        <v>14</v>
      </c>
      <c r="C20" s="17" t="n">
        <v>11</v>
      </c>
      <c r="D20" s="17" t="n">
        <v>2021</v>
      </c>
      <c r="E20" s="18" t="n">
        <v>0.819548611111111</v>
      </c>
      <c r="F20" s="17" t="n">
        <v>1712</v>
      </c>
      <c r="G20" s="17" t="s">
        <v>112</v>
      </c>
      <c r="H20" s="17" t="s">
        <v>113</v>
      </c>
      <c r="I20" s="17" t="s">
        <v>114</v>
      </c>
      <c r="J20" s="17" t="s">
        <v>115</v>
      </c>
      <c r="K20" s="17" t="n">
        <v>50</v>
      </c>
      <c r="L20" s="17" t="s">
        <v>81</v>
      </c>
      <c r="M20" s="17" t="s">
        <v>116</v>
      </c>
      <c r="N20" s="19" t="n">
        <v>4.86</v>
      </c>
      <c r="O20" s="19" t="n">
        <v>243</v>
      </c>
      <c r="P20" s="17" t="s">
        <v>33</v>
      </c>
      <c r="Q20" s="20" t="n">
        <f aca="false">DATE(D20,C20,B20)</f>
        <v>44514</v>
      </c>
      <c r="R20" s="17" t="str">
        <f aca="false">IF(HOUR(E20)&lt;6,"Madrugada (0-5 h)",IF(HOUR(E20)&lt;12,"Mañana (6-11 h)",IF(HOUR(E20)&lt;18,"Tarde (12-17 h)","Noche (18-23 h)")))</f>
        <v>Noche (18-23 h)</v>
      </c>
    </row>
    <row r="21" customFormat="false" ht="15" hidden="false" customHeight="false" outlineLevel="0" collapsed="false">
      <c r="A21" s="17" t="n">
        <v>1020</v>
      </c>
      <c r="B21" s="17" t="n">
        <v>3</v>
      </c>
      <c r="C21" s="17" t="n">
        <v>8</v>
      </c>
      <c r="D21" s="17" t="n">
        <v>2022</v>
      </c>
      <c r="E21" s="18" t="n">
        <v>0.261782407407407</v>
      </c>
      <c r="F21" s="17" t="n">
        <v>3082</v>
      </c>
      <c r="G21" s="17" t="s">
        <v>117</v>
      </c>
      <c r="H21" s="17" t="s">
        <v>118</v>
      </c>
      <c r="I21" s="17" t="s">
        <v>119</v>
      </c>
      <c r="J21" s="17" t="s">
        <v>115</v>
      </c>
      <c r="K21" s="17" t="n">
        <v>47</v>
      </c>
      <c r="L21" s="17" t="s">
        <v>81</v>
      </c>
      <c r="M21" s="17" t="s">
        <v>120</v>
      </c>
      <c r="N21" s="19" t="n">
        <v>3.54</v>
      </c>
      <c r="O21" s="19" t="n">
        <v>166.38</v>
      </c>
      <c r="P21" s="17" t="s">
        <v>33</v>
      </c>
      <c r="Q21" s="20" t="n">
        <f aca="false">DATE(D21,C21,B21)</f>
        <v>44776</v>
      </c>
      <c r="R21" s="17" t="str">
        <f aca="false">IF(HOUR(E21)&lt;6,"Madrugada (0-5 h)",IF(HOUR(E21)&lt;12,"Mañana (6-11 h)",IF(HOUR(E21)&lt;18,"Tarde (12-17 h)","Noche (18-23 h)")))</f>
        <v>Mañana (6-11 h)</v>
      </c>
    </row>
    <row r="22" customFormat="false" ht="15" hidden="false" customHeight="false" outlineLevel="0" collapsed="false">
      <c r="A22" s="17" t="n">
        <v>1021</v>
      </c>
      <c r="B22" s="17" t="n">
        <v>12</v>
      </c>
      <c r="C22" s="17" t="n">
        <v>7</v>
      </c>
      <c r="D22" s="17" t="n">
        <v>2022</v>
      </c>
      <c r="E22" s="18" t="n">
        <v>0.141782407407407</v>
      </c>
      <c r="F22" s="17" t="n">
        <v>1989</v>
      </c>
      <c r="G22" s="17" t="s">
        <v>121</v>
      </c>
      <c r="H22" s="17" t="s">
        <v>122</v>
      </c>
      <c r="I22" s="17" t="s">
        <v>123</v>
      </c>
      <c r="J22" s="17" t="s">
        <v>124</v>
      </c>
      <c r="K22" s="17" t="n">
        <v>11</v>
      </c>
      <c r="L22" s="17" t="s">
        <v>125</v>
      </c>
      <c r="M22" s="17" t="s">
        <v>76</v>
      </c>
      <c r="N22" s="19" t="n">
        <v>7</v>
      </c>
      <c r="O22" s="19" t="n">
        <v>77</v>
      </c>
      <c r="P22" s="17" t="s">
        <v>33</v>
      </c>
      <c r="Q22" s="20" t="n">
        <f aca="false">DATE(D22,C22,B22)</f>
        <v>44754</v>
      </c>
      <c r="R22" s="17" t="str">
        <f aca="false">IF(HOUR(E22)&lt;6,"Madrugada (0-5 h)",IF(HOUR(E22)&lt;12,"Mañana (6-11 h)",IF(HOUR(E22)&lt;18,"Tarde (12-17 h)","Noche (18-23 h)")))</f>
        <v>Madrugada (0-5 h)</v>
      </c>
    </row>
    <row r="23" customFormat="false" ht="15" hidden="false" customHeight="false" outlineLevel="0" collapsed="false">
      <c r="A23" s="17" t="n">
        <v>1022</v>
      </c>
      <c r="B23" s="17" t="n">
        <v>24</v>
      </c>
      <c r="C23" s="17" t="n">
        <v>11</v>
      </c>
      <c r="D23" s="17" t="n">
        <v>2022</v>
      </c>
      <c r="E23" s="18" t="n">
        <v>0.862974537037037</v>
      </c>
      <c r="F23" s="17" t="n">
        <v>4430</v>
      </c>
      <c r="G23" s="17" t="s">
        <v>126</v>
      </c>
      <c r="H23" s="17" t="s">
        <v>127</v>
      </c>
      <c r="I23" s="17" t="s">
        <v>128</v>
      </c>
      <c r="J23" s="17" t="s">
        <v>129</v>
      </c>
      <c r="K23" s="17" t="n">
        <v>8</v>
      </c>
      <c r="L23" s="17" t="s">
        <v>98</v>
      </c>
      <c r="M23" s="17" t="s">
        <v>62</v>
      </c>
      <c r="N23" s="19" t="n">
        <v>3.05</v>
      </c>
      <c r="O23" s="19" t="n">
        <v>24.4</v>
      </c>
      <c r="P23" s="17" t="s">
        <v>33</v>
      </c>
      <c r="Q23" s="20" t="n">
        <f aca="false">DATE(D23,C23,B23)</f>
        <v>44889</v>
      </c>
      <c r="R23" s="17" t="str">
        <f aca="false">IF(HOUR(E23)&lt;6,"Madrugada (0-5 h)",IF(HOUR(E23)&lt;12,"Mañana (6-11 h)",IF(HOUR(E23)&lt;18,"Tarde (12-17 h)","Noche (18-23 h)")))</f>
        <v>Noche (18-23 h)</v>
      </c>
    </row>
    <row r="24" customFormat="false" ht="15" hidden="false" customHeight="false" outlineLevel="0" collapsed="false">
      <c r="A24" s="17" t="n">
        <v>1023</v>
      </c>
      <c r="B24" s="17" t="n">
        <v>5</v>
      </c>
      <c r="C24" s="17" t="n">
        <v>10</v>
      </c>
      <c r="D24" s="17" t="n">
        <v>2022</v>
      </c>
      <c r="E24" s="18" t="n">
        <v>0.0830671296296296</v>
      </c>
      <c r="F24" s="17" t="n">
        <v>1364</v>
      </c>
      <c r="G24" s="17" t="s">
        <v>130</v>
      </c>
      <c r="H24" s="17" t="s">
        <v>131</v>
      </c>
      <c r="I24" s="17" t="s">
        <v>132</v>
      </c>
      <c r="J24" s="17" t="s">
        <v>129</v>
      </c>
      <c r="K24" s="17" t="n">
        <v>8</v>
      </c>
      <c r="L24" s="17" t="s">
        <v>98</v>
      </c>
      <c r="M24" s="17" t="s">
        <v>62</v>
      </c>
      <c r="N24" s="19" t="n">
        <v>4.57</v>
      </c>
      <c r="O24" s="19" t="n">
        <v>36.56</v>
      </c>
      <c r="P24" s="17" t="s">
        <v>33</v>
      </c>
      <c r="Q24" s="20" t="n">
        <f aca="false">DATE(D24,C24,B24)</f>
        <v>44839</v>
      </c>
      <c r="R24" s="17" t="str">
        <f aca="false">IF(HOUR(E24)&lt;6,"Madrugada (0-5 h)",IF(HOUR(E24)&lt;12,"Mañana (6-11 h)",IF(HOUR(E24)&lt;18,"Tarde (12-17 h)","Noche (18-23 h)")))</f>
        <v>Madrugada (0-5 h)</v>
      </c>
    </row>
    <row r="25" customFormat="false" ht="15" hidden="false" customHeight="false" outlineLevel="0" collapsed="false">
      <c r="A25" s="17" t="n">
        <v>1024</v>
      </c>
      <c r="B25" s="17" t="n">
        <v>6</v>
      </c>
      <c r="C25" s="17" t="n">
        <v>5</v>
      </c>
      <c r="D25" s="17" t="n">
        <v>2022</v>
      </c>
      <c r="E25" s="18" t="n">
        <v>0.827546296296296</v>
      </c>
      <c r="F25" s="17" t="n">
        <v>4445</v>
      </c>
      <c r="G25" s="17" t="s">
        <v>133</v>
      </c>
      <c r="H25" s="17" t="s">
        <v>134</v>
      </c>
      <c r="I25" s="17" t="s">
        <v>135</v>
      </c>
      <c r="J25" s="17" t="s">
        <v>136</v>
      </c>
      <c r="K25" s="17" t="n">
        <v>2</v>
      </c>
      <c r="L25" s="17" t="s">
        <v>81</v>
      </c>
      <c r="M25" s="17" t="s">
        <v>76</v>
      </c>
      <c r="N25" s="19" t="n">
        <v>9.89</v>
      </c>
      <c r="O25" s="19" t="n">
        <v>19.78</v>
      </c>
      <c r="P25" s="17" t="s">
        <v>33</v>
      </c>
      <c r="Q25" s="20" t="n">
        <f aca="false">DATE(D25,C25,B25)</f>
        <v>44687</v>
      </c>
      <c r="R25" s="17" t="str">
        <f aca="false">IF(HOUR(E25)&lt;6,"Madrugada (0-5 h)",IF(HOUR(E25)&lt;12,"Mañana (6-11 h)",IF(HOUR(E25)&lt;18,"Tarde (12-17 h)","Noche (18-23 h)")))</f>
        <v>Noche (18-23 h)</v>
      </c>
    </row>
    <row r="26" customFormat="false" ht="15" hidden="false" customHeight="false" outlineLevel="0" collapsed="false">
      <c r="A26" s="17" t="n">
        <v>1025</v>
      </c>
      <c r="B26" s="17" t="n">
        <v>27</v>
      </c>
      <c r="C26" s="17" t="n">
        <v>10</v>
      </c>
      <c r="D26" s="17" t="n">
        <v>2022</v>
      </c>
      <c r="E26" s="18" t="n">
        <v>0.0784606481481482</v>
      </c>
      <c r="F26" s="17" t="n">
        <v>3309</v>
      </c>
      <c r="G26" s="17" t="s">
        <v>137</v>
      </c>
      <c r="H26" s="21" t="s">
        <v>138</v>
      </c>
      <c r="I26" s="17" t="s">
        <v>139</v>
      </c>
      <c r="J26" s="17" t="s">
        <v>140</v>
      </c>
      <c r="K26" s="17" t="n">
        <v>26</v>
      </c>
      <c r="L26" s="17" t="s">
        <v>31</v>
      </c>
      <c r="M26" s="17" t="s">
        <v>32</v>
      </c>
      <c r="N26" s="19" t="n">
        <v>3.44</v>
      </c>
      <c r="O26" s="19" t="n">
        <v>89.44</v>
      </c>
      <c r="P26" s="17" t="s">
        <v>43</v>
      </c>
      <c r="Q26" s="20" t="n">
        <f aca="false">DATE(D26,C26,B26)</f>
        <v>44861</v>
      </c>
      <c r="R26" s="17" t="str">
        <f aca="false">IF(HOUR(E26)&lt;6,"Madrugada (0-5 h)",IF(HOUR(E26)&lt;12,"Mañana (6-11 h)",IF(HOUR(E26)&lt;18,"Tarde (12-17 h)","Noche (18-23 h)")))</f>
        <v>Madrugada (0-5 h)</v>
      </c>
    </row>
    <row r="27" customFormat="false" ht="15" hidden="false" customHeight="false" outlineLevel="0" collapsed="false">
      <c r="A27" s="17" t="n">
        <v>1026</v>
      </c>
      <c r="B27" s="17" t="n">
        <v>12</v>
      </c>
      <c r="C27" s="17" t="n">
        <v>2</v>
      </c>
      <c r="D27" s="17" t="n">
        <v>2021</v>
      </c>
      <c r="E27" s="18" t="n">
        <v>0.00190972222222222</v>
      </c>
      <c r="F27" s="17" t="n">
        <v>1431</v>
      </c>
      <c r="G27" s="17" t="s">
        <v>141</v>
      </c>
      <c r="H27" s="17" t="s">
        <v>142</v>
      </c>
      <c r="I27" s="17" t="s">
        <v>143</v>
      </c>
      <c r="J27" s="17" t="s">
        <v>144</v>
      </c>
      <c r="K27" s="17" t="n">
        <v>9</v>
      </c>
      <c r="L27" s="17" t="s">
        <v>42</v>
      </c>
      <c r="M27" s="17" t="s">
        <v>48</v>
      </c>
      <c r="N27" s="19" t="n">
        <v>8.88</v>
      </c>
      <c r="O27" s="19" t="n">
        <v>79.92</v>
      </c>
      <c r="P27" s="17" t="s">
        <v>33</v>
      </c>
      <c r="Q27" s="20" t="n">
        <f aca="false">DATE(D27,C27,B27)</f>
        <v>44239</v>
      </c>
      <c r="R27" s="17" t="str">
        <f aca="false">IF(HOUR(E27)&lt;6,"Madrugada (0-5 h)",IF(HOUR(E27)&lt;12,"Mañana (6-11 h)",IF(HOUR(E27)&lt;18,"Tarde (12-17 h)","Noche (18-23 h)")))</f>
        <v>Madrugada (0-5 h)</v>
      </c>
    </row>
    <row r="28" customFormat="false" ht="15" hidden="false" customHeight="false" outlineLevel="0" collapsed="false">
      <c r="A28" s="17" t="n">
        <v>1027</v>
      </c>
      <c r="B28" s="17" t="n">
        <v>3</v>
      </c>
      <c r="C28" s="17" t="n">
        <v>12</v>
      </c>
      <c r="D28" s="17" t="n">
        <v>2021</v>
      </c>
      <c r="E28" s="18" t="n">
        <v>0.17</v>
      </c>
      <c r="F28" s="17" t="n">
        <v>3287</v>
      </c>
      <c r="G28" s="17" t="s">
        <v>145</v>
      </c>
      <c r="H28" s="17" t="s">
        <v>146</v>
      </c>
      <c r="I28" s="17" t="s">
        <v>147</v>
      </c>
      <c r="J28" s="17" t="s">
        <v>148</v>
      </c>
      <c r="K28" s="17" t="n">
        <v>50</v>
      </c>
      <c r="L28" s="17" t="s">
        <v>42</v>
      </c>
      <c r="M28" s="17" t="s">
        <v>48</v>
      </c>
      <c r="N28" s="19" t="n">
        <v>15.87</v>
      </c>
      <c r="O28" s="19" t="n">
        <v>793.5</v>
      </c>
      <c r="P28" s="17" t="s">
        <v>33</v>
      </c>
      <c r="Q28" s="20" t="n">
        <f aca="false">DATE(D28,C28,B28)</f>
        <v>44533</v>
      </c>
      <c r="R28" s="17" t="str">
        <f aca="false">IF(HOUR(E28)&lt;6,"Madrugada (0-5 h)",IF(HOUR(E28)&lt;12,"Mañana (6-11 h)",IF(HOUR(E28)&lt;18,"Tarde (12-17 h)","Noche (18-23 h)")))</f>
        <v>Madrugada (0-5 h)</v>
      </c>
    </row>
    <row r="29" customFormat="false" ht="15" hidden="false" customHeight="false" outlineLevel="0" collapsed="false">
      <c r="A29" s="17" t="n">
        <v>1028</v>
      </c>
      <c r="B29" s="17" t="n">
        <v>14</v>
      </c>
      <c r="C29" s="17" t="n">
        <v>11</v>
      </c>
      <c r="D29" s="17" t="n">
        <v>2021</v>
      </c>
      <c r="E29" s="18" t="n">
        <v>0.626851851851852</v>
      </c>
      <c r="F29" s="17" t="n">
        <v>3614</v>
      </c>
      <c r="G29" s="17" t="s">
        <v>149</v>
      </c>
      <c r="H29" s="17" t="s">
        <v>150</v>
      </c>
      <c r="I29" s="17" t="s">
        <v>151</v>
      </c>
      <c r="J29" s="17" t="s">
        <v>152</v>
      </c>
      <c r="K29" s="17" t="n">
        <v>3</v>
      </c>
      <c r="L29" s="17" t="s">
        <v>42</v>
      </c>
      <c r="M29" s="17" t="s">
        <v>32</v>
      </c>
      <c r="N29" s="19" t="n">
        <v>13.04</v>
      </c>
      <c r="O29" s="19" t="n">
        <v>39.12</v>
      </c>
      <c r="P29" s="17" t="s">
        <v>33</v>
      </c>
      <c r="Q29" s="20" t="n">
        <f aca="false">DATE(D29,C29,B29)</f>
        <v>44514</v>
      </c>
      <c r="R29" s="17" t="str">
        <f aca="false">IF(HOUR(E29)&lt;6,"Madrugada (0-5 h)",IF(HOUR(E29)&lt;12,"Mañana (6-11 h)",IF(HOUR(E29)&lt;18,"Tarde (12-17 h)","Noche (18-23 h)")))</f>
        <v>Tarde (12-17 h)</v>
      </c>
    </row>
    <row r="30" customFormat="false" ht="15" hidden="false" customHeight="false" outlineLevel="0" collapsed="false">
      <c r="A30" s="17" t="n">
        <v>1029</v>
      </c>
      <c r="B30" s="17" t="n">
        <v>2</v>
      </c>
      <c r="C30" s="17" t="n">
        <v>1</v>
      </c>
      <c r="D30" s="17" t="n">
        <v>2022</v>
      </c>
      <c r="E30" s="18" t="n">
        <v>0.983796296296296</v>
      </c>
      <c r="F30" s="17" t="n">
        <v>3012</v>
      </c>
      <c r="G30" s="17" t="s">
        <v>153</v>
      </c>
      <c r="H30" s="17" t="s">
        <v>154</v>
      </c>
      <c r="I30" s="17" t="s">
        <v>155</v>
      </c>
      <c r="J30" s="17" t="s">
        <v>155</v>
      </c>
      <c r="K30" s="17" t="n">
        <v>35</v>
      </c>
      <c r="L30" s="17" t="s">
        <v>42</v>
      </c>
      <c r="M30" s="17" t="s">
        <v>32</v>
      </c>
      <c r="N30" s="19" t="n">
        <v>9.31</v>
      </c>
      <c r="O30" s="19" t="n">
        <v>325.85</v>
      </c>
      <c r="P30" s="17" t="s">
        <v>43</v>
      </c>
      <c r="Q30" s="20" t="n">
        <f aca="false">DATE(D30,C30,B30)</f>
        <v>44563</v>
      </c>
      <c r="R30" s="17" t="str">
        <f aca="false">IF(HOUR(E30)&lt;6,"Madrugada (0-5 h)",IF(HOUR(E30)&lt;12,"Mañana (6-11 h)",IF(HOUR(E30)&lt;18,"Tarde (12-17 h)","Noche (18-23 h)")))</f>
        <v>Noche (18-23 h)</v>
      </c>
    </row>
    <row r="31" customFormat="false" ht="15" hidden="false" customHeight="false" outlineLevel="0" collapsed="false">
      <c r="A31" s="17" t="n">
        <v>1030</v>
      </c>
      <c r="B31" s="17" t="n">
        <v>13</v>
      </c>
      <c r="C31" s="17" t="n">
        <v>9</v>
      </c>
      <c r="D31" s="17" t="n">
        <v>2022</v>
      </c>
      <c r="E31" s="18" t="n">
        <v>0.914351851851852</v>
      </c>
      <c r="F31" s="17" t="n">
        <v>1045</v>
      </c>
      <c r="G31" s="17" t="s">
        <v>156</v>
      </c>
      <c r="H31" s="17" t="s">
        <v>157</v>
      </c>
      <c r="I31" s="17" t="s">
        <v>158</v>
      </c>
      <c r="J31" s="17" t="s">
        <v>159</v>
      </c>
      <c r="K31" s="17" t="n">
        <v>38</v>
      </c>
      <c r="L31" s="17" t="s">
        <v>125</v>
      </c>
      <c r="M31" s="17" t="s">
        <v>82</v>
      </c>
      <c r="N31" s="19" t="n">
        <v>8.51</v>
      </c>
      <c r="O31" s="19" t="n">
        <v>323.38</v>
      </c>
      <c r="P31" s="17" t="s">
        <v>33</v>
      </c>
      <c r="Q31" s="20" t="n">
        <f aca="false">DATE(D31,C31,B31)</f>
        <v>44817</v>
      </c>
      <c r="R31" s="17" t="str">
        <f aca="false">IF(HOUR(E31)&lt;6,"Madrugada (0-5 h)",IF(HOUR(E31)&lt;12,"Mañana (6-11 h)",IF(HOUR(E31)&lt;18,"Tarde (12-17 h)","Noche (18-23 h)")))</f>
        <v>Noche (18-23 h)</v>
      </c>
    </row>
    <row r="32" customFormat="false" ht="15" hidden="false" customHeight="false" outlineLevel="0" collapsed="false">
      <c r="A32" s="17" t="n">
        <v>1031</v>
      </c>
      <c r="B32" s="17" t="n">
        <v>26</v>
      </c>
      <c r="C32" s="17" t="n">
        <v>9</v>
      </c>
      <c r="D32" s="17" t="n">
        <v>2021</v>
      </c>
      <c r="E32" s="18" t="n">
        <v>0.423333333333333</v>
      </c>
      <c r="F32" s="17" t="n">
        <v>4987</v>
      </c>
      <c r="G32" s="17" t="s">
        <v>160</v>
      </c>
      <c r="H32" s="17" t="s">
        <v>161</v>
      </c>
      <c r="I32" s="17" t="s">
        <v>162</v>
      </c>
      <c r="J32" s="17" t="s">
        <v>163</v>
      </c>
      <c r="K32" s="17" t="n">
        <v>41</v>
      </c>
      <c r="L32" s="17" t="s">
        <v>42</v>
      </c>
      <c r="M32" s="17" t="s">
        <v>76</v>
      </c>
      <c r="N32" s="19" t="n">
        <v>15.63</v>
      </c>
      <c r="O32" s="19" t="n">
        <v>640.83</v>
      </c>
      <c r="P32" s="17" t="s">
        <v>33</v>
      </c>
      <c r="Q32" s="20" t="n">
        <f aca="false">DATE(D32,C32,B32)</f>
        <v>44465</v>
      </c>
      <c r="R32" s="17" t="str">
        <f aca="false">IF(HOUR(E32)&lt;6,"Madrugada (0-5 h)",IF(HOUR(E32)&lt;12,"Mañana (6-11 h)",IF(HOUR(E32)&lt;18,"Tarde (12-17 h)","Noche (18-23 h)")))</f>
        <v>Mañana (6-11 h)</v>
      </c>
    </row>
    <row r="33" customFormat="false" ht="15" hidden="false" customHeight="false" outlineLevel="0" collapsed="false">
      <c r="A33" s="17" t="n">
        <v>1032</v>
      </c>
      <c r="B33" s="17" t="n">
        <v>12</v>
      </c>
      <c r="C33" s="17" t="n">
        <v>10</v>
      </c>
      <c r="D33" s="17" t="n">
        <v>2022</v>
      </c>
      <c r="E33" s="18" t="n">
        <v>0.282951388888889</v>
      </c>
      <c r="F33" s="17" t="n">
        <v>3543</v>
      </c>
      <c r="G33" s="17" t="s">
        <v>164</v>
      </c>
      <c r="H33" s="17" t="s">
        <v>165</v>
      </c>
      <c r="I33" s="17" t="s">
        <v>166</v>
      </c>
      <c r="J33" s="17" t="s">
        <v>167</v>
      </c>
      <c r="K33" s="17" t="n">
        <v>16</v>
      </c>
      <c r="L33" s="17" t="s">
        <v>81</v>
      </c>
      <c r="M33" s="17" t="s">
        <v>82</v>
      </c>
      <c r="N33" s="19" t="n">
        <v>6.99</v>
      </c>
      <c r="O33" s="19" t="n">
        <v>111.84</v>
      </c>
      <c r="P33" s="17" t="s">
        <v>33</v>
      </c>
      <c r="Q33" s="20" t="n">
        <f aca="false">DATE(D33,C33,B33)</f>
        <v>44846</v>
      </c>
      <c r="R33" s="17" t="str">
        <f aca="false">IF(HOUR(E33)&lt;6,"Madrugada (0-5 h)",IF(HOUR(E33)&lt;12,"Mañana (6-11 h)",IF(HOUR(E33)&lt;18,"Tarde (12-17 h)","Noche (18-23 h)")))</f>
        <v>Mañana (6-11 h)</v>
      </c>
    </row>
    <row r="34" customFormat="false" ht="15" hidden="false" customHeight="false" outlineLevel="0" collapsed="false">
      <c r="A34" s="17" t="n">
        <v>1033</v>
      </c>
      <c r="B34" s="17" t="n">
        <v>10</v>
      </c>
      <c r="C34" s="17" t="n">
        <v>6</v>
      </c>
      <c r="D34" s="17" t="n">
        <v>2021</v>
      </c>
      <c r="E34" s="18" t="n">
        <v>0.730439814814815</v>
      </c>
      <c r="F34" s="17" t="n">
        <v>2171</v>
      </c>
      <c r="G34" s="17" t="s">
        <v>168</v>
      </c>
      <c r="H34" s="17" t="s">
        <v>169</v>
      </c>
      <c r="I34" s="17" t="s">
        <v>170</v>
      </c>
      <c r="J34" s="17" t="s">
        <v>171</v>
      </c>
      <c r="K34" s="17" t="n">
        <v>16</v>
      </c>
      <c r="L34" s="17" t="s">
        <v>31</v>
      </c>
      <c r="M34" s="17" t="s">
        <v>76</v>
      </c>
      <c r="N34" s="19" t="n">
        <v>6.84</v>
      </c>
      <c r="O34" s="19" t="n">
        <v>109.44</v>
      </c>
      <c r="P34" s="17" t="s">
        <v>33</v>
      </c>
      <c r="Q34" s="20" t="n">
        <f aca="false">DATE(D34,C34,B34)</f>
        <v>44357</v>
      </c>
      <c r="R34" s="17" t="str">
        <f aca="false">IF(HOUR(E34)&lt;6,"Madrugada (0-5 h)",IF(HOUR(E34)&lt;12,"Mañana (6-11 h)",IF(HOUR(E34)&lt;18,"Tarde (12-17 h)","Noche (18-23 h)")))</f>
        <v>Tarde (12-17 h)</v>
      </c>
    </row>
    <row r="35" customFormat="false" ht="15" hidden="false" customHeight="false" outlineLevel="0" collapsed="false">
      <c r="A35" s="17" t="n">
        <v>1034</v>
      </c>
      <c r="B35" s="17" t="n">
        <v>24</v>
      </c>
      <c r="C35" s="17" t="n">
        <v>2</v>
      </c>
      <c r="D35" s="17" t="n">
        <v>2021</v>
      </c>
      <c r="E35" s="18" t="n">
        <v>0.778622685185185</v>
      </c>
      <c r="F35" s="17" t="n">
        <v>2359</v>
      </c>
      <c r="G35" s="17" t="s">
        <v>172</v>
      </c>
      <c r="H35" s="17" t="s">
        <v>173</v>
      </c>
      <c r="I35" s="17" t="s">
        <v>174</v>
      </c>
      <c r="J35" s="17" t="s">
        <v>175</v>
      </c>
      <c r="K35" s="17" t="n">
        <v>14</v>
      </c>
      <c r="L35" s="17" t="s">
        <v>31</v>
      </c>
      <c r="M35" s="17" t="s">
        <v>76</v>
      </c>
      <c r="N35" s="19" t="n">
        <v>5.5</v>
      </c>
      <c r="O35" s="19" t="n">
        <v>77</v>
      </c>
      <c r="P35" s="17" t="s">
        <v>33</v>
      </c>
      <c r="Q35" s="20" t="n">
        <f aca="false">DATE(D35,C35,B35)</f>
        <v>44251</v>
      </c>
      <c r="R35" s="17" t="str">
        <f aca="false">IF(HOUR(E35)&lt;6,"Madrugada (0-5 h)",IF(HOUR(E35)&lt;12,"Mañana (6-11 h)",IF(HOUR(E35)&lt;18,"Tarde (12-17 h)","Noche (18-23 h)")))</f>
        <v>Noche (18-23 h)</v>
      </c>
    </row>
    <row r="36" customFormat="false" ht="15" hidden="false" customHeight="false" outlineLevel="0" collapsed="false">
      <c r="A36" s="17" t="n">
        <v>1035</v>
      </c>
      <c r="B36" s="17" t="n">
        <v>9</v>
      </c>
      <c r="C36" s="17" t="n">
        <v>6</v>
      </c>
      <c r="D36" s="17" t="n">
        <v>2021</v>
      </c>
      <c r="E36" s="18" t="n">
        <v>0.371180555555556</v>
      </c>
      <c r="F36" s="17" t="n">
        <v>4681</v>
      </c>
      <c r="G36" s="17" t="s">
        <v>176</v>
      </c>
      <c r="H36" s="17" t="s">
        <v>177</v>
      </c>
      <c r="I36" s="17" t="s">
        <v>178</v>
      </c>
      <c r="J36" s="17" t="s">
        <v>179</v>
      </c>
      <c r="K36" s="17" t="n">
        <v>34</v>
      </c>
      <c r="L36" s="17" t="s">
        <v>31</v>
      </c>
      <c r="M36" s="17" t="s">
        <v>76</v>
      </c>
      <c r="N36" s="19" t="n">
        <v>9.56</v>
      </c>
      <c r="O36" s="19" t="n">
        <v>325.04</v>
      </c>
      <c r="P36" s="17" t="s">
        <v>33</v>
      </c>
      <c r="Q36" s="20" t="n">
        <f aca="false">DATE(D36,C36,B36)</f>
        <v>44356</v>
      </c>
      <c r="R36" s="17" t="str">
        <f aca="false">IF(HOUR(E36)&lt;6,"Madrugada (0-5 h)",IF(HOUR(E36)&lt;12,"Mañana (6-11 h)",IF(HOUR(E36)&lt;18,"Tarde (12-17 h)","Noche (18-23 h)")))</f>
        <v>Mañana (6-11 h)</v>
      </c>
    </row>
    <row r="37" customFormat="false" ht="15" hidden="false" customHeight="false" outlineLevel="0" collapsed="false">
      <c r="A37" s="17" t="n">
        <v>1036</v>
      </c>
      <c r="B37" s="17" t="n">
        <v>2</v>
      </c>
      <c r="C37" s="17" t="n">
        <v>11</v>
      </c>
      <c r="D37" s="17" t="n">
        <v>2021</v>
      </c>
      <c r="E37" s="18" t="n">
        <v>0.652013888888889</v>
      </c>
      <c r="F37" s="17" t="n">
        <v>1616</v>
      </c>
      <c r="G37" s="17" t="s">
        <v>180</v>
      </c>
      <c r="H37" s="17" t="s">
        <v>181</v>
      </c>
      <c r="I37" s="17" t="s">
        <v>182</v>
      </c>
      <c r="J37" s="17" t="s">
        <v>183</v>
      </c>
      <c r="K37" s="17" t="n">
        <v>42</v>
      </c>
      <c r="L37" s="17" t="s">
        <v>31</v>
      </c>
      <c r="M37" s="17" t="s">
        <v>32</v>
      </c>
      <c r="N37" s="19" t="n">
        <v>3.43</v>
      </c>
      <c r="O37" s="19" t="n">
        <v>144.06</v>
      </c>
      <c r="P37" s="17" t="s">
        <v>33</v>
      </c>
      <c r="Q37" s="20" t="n">
        <f aca="false">DATE(D37,C37,B37)</f>
        <v>44502</v>
      </c>
      <c r="R37" s="17" t="str">
        <f aca="false">IF(HOUR(E37)&lt;6,"Madrugada (0-5 h)",IF(HOUR(E37)&lt;12,"Mañana (6-11 h)",IF(HOUR(E37)&lt;18,"Tarde (12-17 h)","Noche (18-23 h)")))</f>
        <v>Tarde (12-17 h)</v>
      </c>
    </row>
    <row r="38" customFormat="false" ht="15" hidden="false" customHeight="false" outlineLevel="0" collapsed="false">
      <c r="A38" s="17" t="n">
        <v>1037</v>
      </c>
      <c r="B38" s="17" t="n">
        <v>19</v>
      </c>
      <c r="C38" s="17" t="n">
        <v>7</v>
      </c>
      <c r="D38" s="17" t="n">
        <v>2022</v>
      </c>
      <c r="E38" s="18" t="n">
        <v>0.375671296296296</v>
      </c>
      <c r="F38" s="17" t="n">
        <v>3480</v>
      </c>
      <c r="G38" s="17" t="s">
        <v>184</v>
      </c>
      <c r="H38" s="17" t="s">
        <v>185</v>
      </c>
      <c r="I38" s="17" t="s">
        <v>186</v>
      </c>
      <c r="J38" s="17" t="s">
        <v>187</v>
      </c>
      <c r="K38" s="17" t="n">
        <v>5</v>
      </c>
      <c r="L38" s="17" t="s">
        <v>81</v>
      </c>
      <c r="M38" s="17" t="s">
        <v>82</v>
      </c>
      <c r="N38" s="19" t="n">
        <v>1.23</v>
      </c>
      <c r="O38" s="19" t="n">
        <v>6.15</v>
      </c>
      <c r="P38" s="17" t="s">
        <v>33</v>
      </c>
      <c r="Q38" s="20" t="n">
        <f aca="false">DATE(D38,C38,B38)</f>
        <v>44761</v>
      </c>
      <c r="R38" s="17" t="str">
        <f aca="false">IF(HOUR(E38)&lt;6,"Madrugada (0-5 h)",IF(HOUR(E38)&lt;12,"Mañana (6-11 h)",IF(HOUR(E38)&lt;18,"Tarde (12-17 h)","Noche (18-23 h)")))</f>
        <v>Mañana (6-11 h)</v>
      </c>
    </row>
    <row r="39" customFormat="false" ht="15" hidden="false" customHeight="false" outlineLevel="0" collapsed="false">
      <c r="A39" s="17" t="n">
        <v>1038</v>
      </c>
      <c r="B39" s="17" t="n">
        <v>12</v>
      </c>
      <c r="C39" s="17" t="n">
        <v>4</v>
      </c>
      <c r="D39" s="17" t="n">
        <v>2021</v>
      </c>
      <c r="E39" s="18" t="n">
        <v>0.959074074074074</v>
      </c>
      <c r="F39" s="17" t="n">
        <v>4017</v>
      </c>
      <c r="G39" s="17" t="s">
        <v>188</v>
      </c>
      <c r="H39" s="17" t="s">
        <v>189</v>
      </c>
      <c r="I39" s="17" t="s">
        <v>190</v>
      </c>
      <c r="J39" s="17" t="s">
        <v>191</v>
      </c>
      <c r="K39" s="17" t="n">
        <v>27</v>
      </c>
      <c r="L39" s="17" t="s">
        <v>125</v>
      </c>
      <c r="M39" s="17" t="s">
        <v>76</v>
      </c>
      <c r="N39" s="19" t="n">
        <v>13.55</v>
      </c>
      <c r="O39" s="19" t="n">
        <v>365.85</v>
      </c>
      <c r="P39" s="17" t="s">
        <v>33</v>
      </c>
      <c r="Q39" s="20" t="n">
        <f aca="false">DATE(D39,C39,B39)</f>
        <v>44298</v>
      </c>
      <c r="R39" s="17" t="str">
        <f aca="false">IF(HOUR(E39)&lt;6,"Madrugada (0-5 h)",IF(HOUR(E39)&lt;12,"Mañana (6-11 h)",IF(HOUR(E39)&lt;18,"Tarde (12-17 h)","Noche (18-23 h)")))</f>
        <v>Noche (18-23 h)</v>
      </c>
    </row>
    <row r="40" customFormat="false" ht="15" hidden="false" customHeight="false" outlineLevel="0" collapsed="false">
      <c r="A40" s="17" t="n">
        <v>1039</v>
      </c>
      <c r="B40" s="17" t="n">
        <v>6</v>
      </c>
      <c r="C40" s="17" t="n">
        <v>9</v>
      </c>
      <c r="D40" s="17" t="n">
        <v>2021</v>
      </c>
      <c r="E40" s="18" t="n">
        <v>0.752835648148148</v>
      </c>
      <c r="F40" s="17" t="n">
        <v>1637</v>
      </c>
      <c r="G40" s="17" t="s">
        <v>192</v>
      </c>
      <c r="H40" s="17" t="s">
        <v>193</v>
      </c>
      <c r="I40" s="17" t="s">
        <v>194</v>
      </c>
      <c r="J40" s="17" t="s">
        <v>195</v>
      </c>
      <c r="K40" s="17" t="n">
        <v>50</v>
      </c>
      <c r="L40" s="17" t="s">
        <v>31</v>
      </c>
      <c r="M40" s="17" t="s">
        <v>82</v>
      </c>
      <c r="N40" s="19" t="n">
        <v>6.78</v>
      </c>
      <c r="O40" s="19" t="n">
        <v>339</v>
      </c>
      <c r="P40" s="17" t="s">
        <v>33</v>
      </c>
      <c r="Q40" s="20" t="n">
        <f aca="false">DATE(D40,C40,B40)</f>
        <v>44445</v>
      </c>
      <c r="R40" s="17" t="str">
        <f aca="false">IF(HOUR(E40)&lt;6,"Madrugada (0-5 h)",IF(HOUR(E40)&lt;12,"Mañana (6-11 h)",IF(HOUR(E40)&lt;18,"Tarde (12-17 h)","Noche (18-23 h)")))</f>
        <v>Noche (18-23 h)</v>
      </c>
    </row>
    <row r="41" customFormat="false" ht="15" hidden="false" customHeight="false" outlineLevel="0" collapsed="false">
      <c r="A41" s="17" t="n">
        <v>1040</v>
      </c>
      <c r="B41" s="17" t="n">
        <v>20</v>
      </c>
      <c r="C41" s="17" t="n">
        <v>10</v>
      </c>
      <c r="D41" s="17" t="n">
        <v>2022</v>
      </c>
      <c r="E41" s="18" t="n">
        <v>0.74525462962963</v>
      </c>
      <c r="F41" s="17" t="n">
        <v>4674</v>
      </c>
      <c r="G41" s="17" t="s">
        <v>196</v>
      </c>
      <c r="H41" s="17" t="s">
        <v>197</v>
      </c>
      <c r="I41" s="17" t="s">
        <v>198</v>
      </c>
      <c r="J41" s="17" t="s">
        <v>199</v>
      </c>
      <c r="K41" s="17" t="n">
        <v>22</v>
      </c>
      <c r="L41" s="17" t="s">
        <v>31</v>
      </c>
      <c r="M41" s="17" t="s">
        <v>32</v>
      </c>
      <c r="N41" s="19" t="n">
        <v>8.02</v>
      </c>
      <c r="O41" s="19" t="n">
        <v>176.44</v>
      </c>
      <c r="P41" s="17" t="s">
        <v>33</v>
      </c>
      <c r="Q41" s="20" t="n">
        <f aca="false">DATE(D41,C41,B41)</f>
        <v>44854</v>
      </c>
      <c r="R41" s="17" t="str">
        <f aca="false">IF(HOUR(E41)&lt;6,"Madrugada (0-5 h)",IF(HOUR(E41)&lt;12,"Mañana (6-11 h)",IF(HOUR(E41)&lt;18,"Tarde (12-17 h)","Noche (18-23 h)")))</f>
        <v>Tarde (12-17 h)</v>
      </c>
    </row>
    <row r="42" customFormat="false" ht="15" hidden="false" customHeight="false" outlineLevel="0" collapsed="false">
      <c r="A42" s="17" t="n">
        <v>1041</v>
      </c>
      <c r="B42" s="17" t="n">
        <v>22</v>
      </c>
      <c r="C42" s="17" t="n">
        <v>6</v>
      </c>
      <c r="D42" s="17" t="n">
        <v>2022</v>
      </c>
      <c r="E42" s="18" t="n">
        <v>0.0353819444444445</v>
      </c>
      <c r="F42" s="17" t="n">
        <v>3416</v>
      </c>
      <c r="G42" s="17" t="s">
        <v>200</v>
      </c>
      <c r="H42" s="17" t="s">
        <v>201</v>
      </c>
      <c r="I42" s="17" t="s">
        <v>113</v>
      </c>
      <c r="J42" s="17" t="s">
        <v>202</v>
      </c>
      <c r="K42" s="17" t="n">
        <v>14</v>
      </c>
      <c r="L42" s="17" t="s">
        <v>31</v>
      </c>
      <c r="M42" s="17" t="s">
        <v>32</v>
      </c>
      <c r="N42" s="19" t="n">
        <v>7.76</v>
      </c>
      <c r="O42" s="19" t="n">
        <v>108.64</v>
      </c>
      <c r="P42" s="17" t="s">
        <v>33</v>
      </c>
      <c r="Q42" s="20" t="n">
        <f aca="false">DATE(D42,C42,B42)</f>
        <v>44734</v>
      </c>
      <c r="R42" s="17" t="str">
        <f aca="false">IF(HOUR(E42)&lt;6,"Madrugada (0-5 h)",IF(HOUR(E42)&lt;12,"Mañana (6-11 h)",IF(HOUR(E42)&lt;18,"Tarde (12-17 h)","Noche (18-23 h)")))</f>
        <v>Madrugada (0-5 h)</v>
      </c>
    </row>
    <row r="43" customFormat="false" ht="15" hidden="false" customHeight="false" outlineLevel="0" collapsed="false">
      <c r="A43" s="17" t="n">
        <v>1042</v>
      </c>
      <c r="B43" s="17" t="n">
        <v>27</v>
      </c>
      <c r="C43" s="17" t="n">
        <v>11</v>
      </c>
      <c r="D43" s="17" t="n">
        <v>2022</v>
      </c>
      <c r="E43" s="18" t="n">
        <v>0.116458333333333</v>
      </c>
      <c r="F43" s="17" t="n">
        <v>2485</v>
      </c>
      <c r="G43" s="17" t="s">
        <v>203</v>
      </c>
      <c r="H43" s="17" t="s">
        <v>204</v>
      </c>
      <c r="I43" s="17" t="s">
        <v>205</v>
      </c>
      <c r="J43" s="17" t="s">
        <v>206</v>
      </c>
      <c r="K43" s="17" t="n">
        <v>41</v>
      </c>
      <c r="L43" s="17" t="s">
        <v>42</v>
      </c>
      <c r="M43" s="17" t="s">
        <v>32</v>
      </c>
      <c r="N43" s="19" t="n">
        <v>8.87</v>
      </c>
      <c r="O43" s="19" t="n">
        <v>363.67</v>
      </c>
      <c r="P43" s="17" t="s">
        <v>33</v>
      </c>
      <c r="Q43" s="20" t="n">
        <f aca="false">DATE(D43,C43,B43)</f>
        <v>44892</v>
      </c>
      <c r="R43" s="17" t="str">
        <f aca="false">IF(HOUR(E43)&lt;6,"Madrugada (0-5 h)",IF(HOUR(E43)&lt;12,"Mañana (6-11 h)",IF(HOUR(E43)&lt;18,"Tarde (12-17 h)","Noche (18-23 h)")))</f>
        <v>Madrugada (0-5 h)</v>
      </c>
    </row>
    <row r="44" customFormat="false" ht="15" hidden="false" customHeight="false" outlineLevel="0" collapsed="false">
      <c r="A44" s="17" t="n">
        <v>1043</v>
      </c>
      <c r="B44" s="17" t="n">
        <v>13</v>
      </c>
      <c r="C44" s="17" t="n">
        <v>6</v>
      </c>
      <c r="D44" s="17" t="n">
        <v>2021</v>
      </c>
      <c r="E44" s="18" t="n">
        <v>0.225393518518519</v>
      </c>
      <c r="F44" s="17" t="n">
        <v>2400</v>
      </c>
      <c r="G44" s="17" t="s">
        <v>207</v>
      </c>
      <c r="H44" s="17" t="s">
        <v>208</v>
      </c>
      <c r="I44" s="17" t="s">
        <v>209</v>
      </c>
      <c r="J44" s="17" t="s">
        <v>210</v>
      </c>
      <c r="K44" s="17" t="n">
        <v>12</v>
      </c>
      <c r="L44" s="17" t="s">
        <v>31</v>
      </c>
      <c r="M44" s="17" t="s">
        <v>32</v>
      </c>
      <c r="N44" s="19" t="n">
        <v>4.5</v>
      </c>
      <c r="O44" s="19" t="n">
        <v>54</v>
      </c>
      <c r="P44" s="17" t="s">
        <v>33</v>
      </c>
      <c r="Q44" s="20" t="n">
        <f aca="false">DATE(D44,C44,B44)</f>
        <v>44360</v>
      </c>
      <c r="R44" s="17" t="str">
        <f aca="false">IF(HOUR(E44)&lt;6,"Madrugada (0-5 h)",IF(HOUR(E44)&lt;12,"Mañana (6-11 h)",IF(HOUR(E44)&lt;18,"Tarde (12-17 h)","Noche (18-23 h)")))</f>
        <v>Madrugada (0-5 h)</v>
      </c>
    </row>
    <row r="45" customFormat="false" ht="15" hidden="false" customHeight="false" outlineLevel="0" collapsed="false">
      <c r="A45" s="17" t="n">
        <v>1044</v>
      </c>
      <c r="B45" s="17" t="n">
        <v>23</v>
      </c>
      <c r="C45" s="17" t="n">
        <v>11</v>
      </c>
      <c r="D45" s="17" t="n">
        <v>2022</v>
      </c>
      <c r="E45" s="18" t="n">
        <v>0.0913425925925926</v>
      </c>
      <c r="F45" s="17" t="n">
        <v>1280</v>
      </c>
      <c r="G45" s="17" t="s">
        <v>211</v>
      </c>
      <c r="H45" s="17" t="s">
        <v>212</v>
      </c>
      <c r="I45" s="17" t="s">
        <v>213</v>
      </c>
      <c r="J45" s="17" t="s">
        <v>214</v>
      </c>
      <c r="K45" s="17" t="n">
        <v>4</v>
      </c>
      <c r="L45" s="17" t="s">
        <v>31</v>
      </c>
      <c r="M45" s="17" t="s">
        <v>32</v>
      </c>
      <c r="N45" s="19" t="n">
        <v>8.98</v>
      </c>
      <c r="O45" s="19" t="n">
        <v>35.92</v>
      </c>
      <c r="P45" s="17" t="s">
        <v>33</v>
      </c>
      <c r="Q45" s="20" t="n">
        <f aca="false">DATE(D45,C45,B45)</f>
        <v>44888</v>
      </c>
      <c r="R45" s="17" t="str">
        <f aca="false">IF(HOUR(E45)&lt;6,"Madrugada (0-5 h)",IF(HOUR(E45)&lt;12,"Mañana (6-11 h)",IF(HOUR(E45)&lt;18,"Tarde (12-17 h)","Noche (18-23 h)")))</f>
        <v>Madrugada (0-5 h)</v>
      </c>
    </row>
    <row r="46" customFormat="false" ht="15" hidden="false" customHeight="false" outlineLevel="0" collapsed="false">
      <c r="A46" s="17" t="n">
        <v>1045</v>
      </c>
      <c r="B46" s="17" t="n">
        <v>9</v>
      </c>
      <c r="C46" s="17" t="n">
        <v>1</v>
      </c>
      <c r="D46" s="17" t="n">
        <v>2021</v>
      </c>
      <c r="E46" s="18" t="n">
        <v>0.739560185185185</v>
      </c>
      <c r="F46" s="17" t="n">
        <v>1156</v>
      </c>
      <c r="G46" s="17" t="s">
        <v>215</v>
      </c>
      <c r="H46" s="17" t="s">
        <v>197</v>
      </c>
      <c r="I46" s="17" t="s">
        <v>198</v>
      </c>
      <c r="J46" s="17" t="s">
        <v>199</v>
      </c>
      <c r="K46" s="17" t="n">
        <v>24</v>
      </c>
      <c r="L46" s="17" t="s">
        <v>31</v>
      </c>
      <c r="M46" s="17" t="s">
        <v>32</v>
      </c>
      <c r="N46" s="19" t="n">
        <v>5.87</v>
      </c>
      <c r="O46" s="19" t="n">
        <v>140.88</v>
      </c>
      <c r="P46" s="17" t="s">
        <v>33</v>
      </c>
      <c r="Q46" s="20" t="n">
        <f aca="false">DATE(D46,C46,B46)</f>
        <v>44205</v>
      </c>
      <c r="R46" s="17" t="str">
        <f aca="false">IF(HOUR(E46)&lt;6,"Madrugada (0-5 h)",IF(HOUR(E46)&lt;12,"Mañana (6-11 h)",IF(HOUR(E46)&lt;18,"Tarde (12-17 h)","Noche (18-23 h)")))</f>
        <v>Tarde (12-17 h)</v>
      </c>
    </row>
    <row r="47" customFormat="false" ht="15" hidden="false" customHeight="false" outlineLevel="0" collapsed="false">
      <c r="A47" s="17" t="n">
        <v>1046</v>
      </c>
      <c r="B47" s="17" t="n">
        <v>23</v>
      </c>
      <c r="C47" s="17" t="n">
        <v>12</v>
      </c>
      <c r="D47" s="17" t="n">
        <v>2022</v>
      </c>
      <c r="E47" s="18" t="n">
        <v>0.865428240740741</v>
      </c>
      <c r="F47" s="17" t="n">
        <v>2509</v>
      </c>
      <c r="G47" s="17" t="s">
        <v>216</v>
      </c>
      <c r="H47" s="17" t="s">
        <v>217</v>
      </c>
      <c r="I47" s="17" t="s">
        <v>218</v>
      </c>
      <c r="J47" s="17" t="s">
        <v>219</v>
      </c>
      <c r="K47" s="17" t="n">
        <v>8</v>
      </c>
      <c r="L47" s="17" t="s">
        <v>98</v>
      </c>
      <c r="M47" s="17" t="s">
        <v>62</v>
      </c>
      <c r="N47" s="19" t="n">
        <v>2.31</v>
      </c>
      <c r="O47" s="19" t="n">
        <v>18.48</v>
      </c>
      <c r="P47" s="17" t="s">
        <v>33</v>
      </c>
      <c r="Q47" s="20" t="n">
        <f aca="false">DATE(D47,C47,B47)</f>
        <v>44918</v>
      </c>
      <c r="R47" s="17" t="str">
        <f aca="false">IF(HOUR(E47)&lt;6,"Madrugada (0-5 h)",IF(HOUR(E47)&lt;12,"Mañana (6-11 h)",IF(HOUR(E47)&lt;18,"Tarde (12-17 h)","Noche (18-23 h)")))</f>
        <v>Noche (18-23 h)</v>
      </c>
    </row>
    <row r="48" customFormat="false" ht="15" hidden="false" customHeight="false" outlineLevel="0" collapsed="false">
      <c r="A48" s="17" t="n">
        <v>1047</v>
      </c>
      <c r="B48" s="17" t="n">
        <v>10</v>
      </c>
      <c r="C48" s="17" t="n">
        <v>6</v>
      </c>
      <c r="D48" s="17" t="n">
        <v>2022</v>
      </c>
      <c r="E48" s="18" t="n">
        <v>0.680625</v>
      </c>
      <c r="F48" s="17" t="n">
        <v>2054</v>
      </c>
      <c r="G48" s="17" t="s">
        <v>220</v>
      </c>
      <c r="H48" s="17" t="s">
        <v>221</v>
      </c>
      <c r="I48" s="17" t="s">
        <v>222</v>
      </c>
      <c r="J48" s="17" t="s">
        <v>223</v>
      </c>
      <c r="K48" s="17" t="n">
        <v>21</v>
      </c>
      <c r="L48" s="17" t="s">
        <v>31</v>
      </c>
      <c r="M48" s="17" t="s">
        <v>32</v>
      </c>
      <c r="N48" s="19" t="n">
        <v>6.53</v>
      </c>
      <c r="O48" s="19" t="n">
        <v>137.13</v>
      </c>
      <c r="P48" s="17" t="s">
        <v>33</v>
      </c>
      <c r="Q48" s="20" t="n">
        <f aca="false">DATE(D48,C48,B48)</f>
        <v>44722</v>
      </c>
      <c r="R48" s="17" t="str">
        <f aca="false">IF(HOUR(E48)&lt;6,"Madrugada (0-5 h)",IF(HOUR(E48)&lt;12,"Mañana (6-11 h)",IF(HOUR(E48)&lt;18,"Tarde (12-17 h)","Noche (18-23 h)")))</f>
        <v>Tarde (12-17 h)</v>
      </c>
    </row>
    <row r="49" customFormat="false" ht="15" hidden="false" customHeight="false" outlineLevel="0" collapsed="false">
      <c r="A49" s="17" t="n">
        <v>1048</v>
      </c>
      <c r="B49" s="17" t="n">
        <v>9</v>
      </c>
      <c r="C49" s="17" t="n">
        <v>8</v>
      </c>
      <c r="D49" s="17" t="n">
        <v>2021</v>
      </c>
      <c r="E49" s="18" t="n">
        <v>0.717962962962963</v>
      </c>
      <c r="F49" s="17" t="n">
        <v>1404</v>
      </c>
      <c r="G49" s="17" t="s">
        <v>224</v>
      </c>
      <c r="H49" s="17" t="s">
        <v>225</v>
      </c>
      <c r="I49" s="17" t="s">
        <v>222</v>
      </c>
      <c r="J49" s="17" t="s">
        <v>223</v>
      </c>
      <c r="K49" s="17" t="n">
        <v>46</v>
      </c>
      <c r="L49" s="17" t="s">
        <v>31</v>
      </c>
      <c r="M49" s="17" t="s">
        <v>32</v>
      </c>
      <c r="N49" s="19" t="n">
        <v>2.45</v>
      </c>
      <c r="O49" s="19" t="n">
        <v>112.7</v>
      </c>
      <c r="P49" s="17" t="s">
        <v>33</v>
      </c>
      <c r="Q49" s="20" t="n">
        <f aca="false">DATE(D49,C49,B49)</f>
        <v>44417</v>
      </c>
      <c r="R49" s="17" t="str">
        <f aca="false">IF(HOUR(E49)&lt;6,"Madrugada (0-5 h)",IF(HOUR(E49)&lt;12,"Mañana (6-11 h)",IF(HOUR(E49)&lt;18,"Tarde (12-17 h)","Noche (18-23 h)")))</f>
        <v>Tarde (12-17 h)</v>
      </c>
    </row>
    <row r="50" customFormat="false" ht="15" hidden="false" customHeight="false" outlineLevel="0" collapsed="false">
      <c r="A50" s="17" t="n">
        <v>1049</v>
      </c>
      <c r="B50" s="17" t="n">
        <v>10</v>
      </c>
      <c r="C50" s="17" t="n">
        <v>8</v>
      </c>
      <c r="D50" s="17" t="n">
        <v>2022</v>
      </c>
      <c r="E50" s="18" t="n">
        <v>0.395844907407407</v>
      </c>
      <c r="F50" s="17" t="n">
        <v>4667</v>
      </c>
      <c r="G50" s="17" t="s">
        <v>226</v>
      </c>
      <c r="H50" s="17" t="s">
        <v>227</v>
      </c>
      <c r="I50" s="17" t="s">
        <v>228</v>
      </c>
      <c r="J50" s="17" t="s">
        <v>229</v>
      </c>
      <c r="K50" s="17" t="n">
        <v>5</v>
      </c>
      <c r="L50" s="17" t="s">
        <v>125</v>
      </c>
      <c r="M50" s="17" t="s">
        <v>76</v>
      </c>
      <c r="N50" s="19" t="n">
        <v>3.03</v>
      </c>
      <c r="O50" s="19" t="n">
        <v>15.15</v>
      </c>
      <c r="P50" s="17" t="s">
        <v>33</v>
      </c>
      <c r="Q50" s="20" t="n">
        <f aca="false">DATE(D50,C50,B50)</f>
        <v>44783</v>
      </c>
      <c r="R50" s="17" t="str">
        <f aca="false">IF(HOUR(E50)&lt;6,"Madrugada (0-5 h)",IF(HOUR(E50)&lt;12,"Mañana (6-11 h)",IF(HOUR(E50)&lt;18,"Tarde (12-17 h)","Noche (18-23 h)")))</f>
        <v>Mañana (6-11 h)</v>
      </c>
    </row>
    <row r="51" customFormat="false" ht="15" hidden="false" customHeight="false" outlineLevel="0" collapsed="false">
      <c r="A51" s="17" t="n">
        <v>1050</v>
      </c>
      <c r="B51" s="17" t="n">
        <v>11</v>
      </c>
      <c r="C51" s="17" t="n">
        <v>3</v>
      </c>
      <c r="D51" s="17" t="n">
        <v>2022</v>
      </c>
      <c r="E51" s="18" t="n">
        <v>0.628865740740741</v>
      </c>
      <c r="F51" s="17" t="n">
        <v>4434</v>
      </c>
      <c r="G51" s="17" t="s">
        <v>230</v>
      </c>
      <c r="H51" s="17" t="s">
        <v>231</v>
      </c>
      <c r="I51" s="17" t="s">
        <v>232</v>
      </c>
      <c r="J51" s="17" t="s">
        <v>233</v>
      </c>
      <c r="K51" s="17" t="n">
        <v>29</v>
      </c>
      <c r="L51" s="17" t="s">
        <v>81</v>
      </c>
      <c r="M51" s="17" t="s">
        <v>76</v>
      </c>
      <c r="N51" s="19" t="n">
        <v>5.42</v>
      </c>
      <c r="O51" s="19" t="n">
        <v>157.18</v>
      </c>
      <c r="P51" s="17" t="s">
        <v>33</v>
      </c>
      <c r="Q51" s="20" t="n">
        <f aca="false">DATE(D51,C51,B51)</f>
        <v>44631</v>
      </c>
      <c r="R51" s="17" t="str">
        <f aca="false">IF(HOUR(E51)&lt;6,"Madrugada (0-5 h)",IF(HOUR(E51)&lt;12,"Mañana (6-11 h)",IF(HOUR(E51)&lt;18,"Tarde (12-17 h)","Noche (18-23 h)")))</f>
        <v>Tarde (12-17 h)</v>
      </c>
    </row>
    <row r="52" customFormat="false" ht="15" hidden="false" customHeight="false" outlineLevel="0" collapsed="false">
      <c r="A52" s="17" t="n">
        <v>1051</v>
      </c>
      <c r="B52" s="17" t="n">
        <v>3</v>
      </c>
      <c r="C52" s="17" t="n">
        <v>9</v>
      </c>
      <c r="D52" s="17" t="n">
        <v>2022</v>
      </c>
      <c r="E52" s="18" t="n">
        <v>0.426342592592593</v>
      </c>
      <c r="F52" s="17" t="n">
        <v>3889</v>
      </c>
      <c r="G52" s="17" t="s">
        <v>234</v>
      </c>
      <c r="H52" s="17" t="s">
        <v>235</v>
      </c>
      <c r="I52" s="17" t="s">
        <v>236</v>
      </c>
      <c r="J52" s="17" t="s">
        <v>237</v>
      </c>
      <c r="K52" s="17" t="n">
        <v>18</v>
      </c>
      <c r="L52" s="17" t="s">
        <v>81</v>
      </c>
      <c r="M52" s="17" t="s">
        <v>82</v>
      </c>
      <c r="N52" s="19" t="n">
        <v>25.45</v>
      </c>
      <c r="O52" s="19" t="n">
        <v>458.1</v>
      </c>
      <c r="P52" s="17" t="s">
        <v>33</v>
      </c>
      <c r="Q52" s="20" t="n">
        <f aca="false">DATE(D52,C52,B52)</f>
        <v>44807</v>
      </c>
      <c r="R52" s="17" t="str">
        <f aca="false">IF(HOUR(E52)&lt;6,"Madrugada (0-5 h)",IF(HOUR(E52)&lt;12,"Mañana (6-11 h)",IF(HOUR(E52)&lt;18,"Tarde (12-17 h)","Noche (18-23 h)")))</f>
        <v>Mañana (6-11 h)</v>
      </c>
    </row>
    <row r="53" customFormat="false" ht="15" hidden="false" customHeight="false" outlineLevel="0" collapsed="false">
      <c r="A53" s="17" t="n">
        <v>1052</v>
      </c>
      <c r="B53" s="17" t="n">
        <v>6</v>
      </c>
      <c r="C53" s="17" t="n">
        <v>12</v>
      </c>
      <c r="D53" s="17" t="n">
        <v>2022</v>
      </c>
      <c r="E53" s="18" t="n">
        <v>0.61474537037037</v>
      </c>
      <c r="F53" s="17" t="n">
        <v>4197</v>
      </c>
      <c r="G53" s="17" t="s">
        <v>238</v>
      </c>
      <c r="H53" s="17" t="s">
        <v>239</v>
      </c>
      <c r="I53" s="17" t="s">
        <v>240</v>
      </c>
      <c r="J53" s="17" t="s">
        <v>241</v>
      </c>
      <c r="K53" s="17" t="n">
        <v>8</v>
      </c>
      <c r="L53" s="17" t="s">
        <v>81</v>
      </c>
      <c r="M53" s="17" t="s">
        <v>82</v>
      </c>
      <c r="N53" s="19" t="n">
        <v>18.05</v>
      </c>
      <c r="O53" s="19" t="n">
        <v>144.4</v>
      </c>
      <c r="P53" s="17" t="s">
        <v>33</v>
      </c>
      <c r="Q53" s="20" t="n">
        <f aca="false">DATE(D53,C53,B53)</f>
        <v>44901</v>
      </c>
      <c r="R53" s="17" t="str">
        <f aca="false">IF(HOUR(E53)&lt;6,"Madrugada (0-5 h)",IF(HOUR(E53)&lt;12,"Mañana (6-11 h)",IF(HOUR(E53)&lt;18,"Tarde (12-17 h)","Noche (18-23 h)")))</f>
        <v>Tarde (12-17 h)</v>
      </c>
    </row>
    <row r="54" customFormat="false" ht="15" hidden="false" customHeight="false" outlineLevel="0" collapsed="false">
      <c r="A54" s="17" t="n">
        <v>1053</v>
      </c>
      <c r="B54" s="17" t="n">
        <v>5</v>
      </c>
      <c r="C54" s="17" t="n">
        <v>4</v>
      </c>
      <c r="D54" s="17" t="n">
        <v>2022</v>
      </c>
      <c r="E54" s="18" t="n">
        <v>0.0818518518518519</v>
      </c>
      <c r="F54" s="17" t="n">
        <v>4733</v>
      </c>
      <c r="G54" s="17" t="s">
        <v>242</v>
      </c>
      <c r="H54" s="17" t="s">
        <v>243</v>
      </c>
      <c r="I54" s="17" t="s">
        <v>244</v>
      </c>
      <c r="J54" s="17" t="s">
        <v>245</v>
      </c>
      <c r="K54" s="17" t="n">
        <v>20</v>
      </c>
      <c r="L54" s="17" t="s">
        <v>81</v>
      </c>
      <c r="M54" s="17" t="s">
        <v>76</v>
      </c>
      <c r="N54" s="19" t="n">
        <v>5.38</v>
      </c>
      <c r="O54" s="19" t="n">
        <v>107.6</v>
      </c>
      <c r="P54" s="17" t="s">
        <v>33</v>
      </c>
      <c r="Q54" s="20" t="n">
        <f aca="false">DATE(D54,C54,B54)</f>
        <v>44656</v>
      </c>
      <c r="R54" s="17" t="str">
        <f aca="false">IF(HOUR(E54)&lt;6,"Madrugada (0-5 h)",IF(HOUR(E54)&lt;12,"Mañana (6-11 h)",IF(HOUR(E54)&lt;18,"Tarde (12-17 h)","Noche (18-23 h)")))</f>
        <v>Madrugada (0-5 h)</v>
      </c>
    </row>
    <row r="55" customFormat="false" ht="15" hidden="false" customHeight="false" outlineLevel="0" collapsed="false">
      <c r="A55" s="17" t="n">
        <v>1054</v>
      </c>
      <c r="B55" s="17" t="n">
        <v>1</v>
      </c>
      <c r="C55" s="17" t="n">
        <v>1</v>
      </c>
      <c r="D55" s="17" t="n">
        <v>2021</v>
      </c>
      <c r="E55" s="18" t="n">
        <v>0.319594907407407</v>
      </c>
      <c r="F55" s="17" t="n">
        <v>3099</v>
      </c>
      <c r="G55" s="17" t="s">
        <v>246</v>
      </c>
      <c r="H55" s="17" t="s">
        <v>247</v>
      </c>
      <c r="I55" s="17" t="s">
        <v>244</v>
      </c>
      <c r="J55" s="17" t="s">
        <v>248</v>
      </c>
      <c r="K55" s="17" t="n">
        <v>25</v>
      </c>
      <c r="L55" s="17" t="s">
        <v>81</v>
      </c>
      <c r="M55" s="17" t="s">
        <v>76</v>
      </c>
      <c r="N55" s="19" t="n">
        <v>9.89</v>
      </c>
      <c r="O55" s="19" t="n">
        <v>247.25</v>
      </c>
      <c r="P55" s="17" t="s">
        <v>33</v>
      </c>
      <c r="Q55" s="20" t="n">
        <f aca="false">DATE(D55,C55,B55)</f>
        <v>44197</v>
      </c>
      <c r="R55" s="17" t="str">
        <f aca="false">IF(HOUR(E55)&lt;6,"Madrugada (0-5 h)",IF(HOUR(E55)&lt;12,"Mañana (6-11 h)",IF(HOUR(E55)&lt;18,"Tarde (12-17 h)","Noche (18-23 h)")))</f>
        <v>Mañana (6-11 h)</v>
      </c>
    </row>
    <row r="56" customFormat="false" ht="15" hidden="false" customHeight="false" outlineLevel="0" collapsed="false">
      <c r="A56" s="17" t="n">
        <v>1055</v>
      </c>
      <c r="B56" s="17" t="n">
        <v>22</v>
      </c>
      <c r="C56" s="17" t="n">
        <v>9</v>
      </c>
      <c r="D56" s="17" t="n">
        <v>2022</v>
      </c>
      <c r="E56" s="18" t="n">
        <v>0.300925925925926</v>
      </c>
      <c r="F56" s="17" t="n">
        <v>3293</v>
      </c>
      <c r="G56" s="17" t="s">
        <v>249</v>
      </c>
      <c r="H56" s="17" t="s">
        <v>250</v>
      </c>
      <c r="I56" s="17" t="s">
        <v>251</v>
      </c>
      <c r="J56" s="17" t="s">
        <v>252</v>
      </c>
      <c r="K56" s="17" t="n">
        <v>29</v>
      </c>
      <c r="L56" s="17" t="s">
        <v>125</v>
      </c>
      <c r="M56" s="17" t="s">
        <v>82</v>
      </c>
      <c r="N56" s="19" t="n">
        <v>25.45</v>
      </c>
      <c r="O56" s="19" t="n">
        <v>738.05</v>
      </c>
      <c r="P56" s="17" t="s">
        <v>33</v>
      </c>
      <c r="Q56" s="20" t="n">
        <f aca="false">DATE(D56,C56,B56)</f>
        <v>44826</v>
      </c>
      <c r="R56" s="17" t="str">
        <f aca="false">IF(HOUR(E56)&lt;6,"Madrugada (0-5 h)",IF(HOUR(E56)&lt;12,"Mañana (6-11 h)",IF(HOUR(E56)&lt;18,"Tarde (12-17 h)","Noche (18-23 h)")))</f>
        <v>Mañana (6-11 h)</v>
      </c>
    </row>
    <row r="57" customFormat="false" ht="15" hidden="false" customHeight="false" outlineLevel="0" collapsed="false">
      <c r="A57" s="17" t="n">
        <v>1056</v>
      </c>
      <c r="B57" s="17" t="n">
        <v>21</v>
      </c>
      <c r="C57" s="17" t="n">
        <v>4</v>
      </c>
      <c r="D57" s="17" t="n">
        <v>2022</v>
      </c>
      <c r="E57" s="18" t="n">
        <v>0.747638888888889</v>
      </c>
      <c r="F57" s="17" t="n">
        <v>1095</v>
      </c>
      <c r="G57" s="17" t="s">
        <v>253</v>
      </c>
      <c r="H57" s="17" t="s">
        <v>250</v>
      </c>
      <c r="I57" s="17" t="s">
        <v>254</v>
      </c>
      <c r="J57" s="17" t="s">
        <v>255</v>
      </c>
      <c r="K57" s="17" t="n">
        <v>22</v>
      </c>
      <c r="L57" s="17" t="s">
        <v>125</v>
      </c>
      <c r="M57" s="17" t="s">
        <v>82</v>
      </c>
      <c r="N57" s="19" t="n">
        <v>16.34</v>
      </c>
      <c r="O57" s="19" t="n">
        <v>359.48</v>
      </c>
      <c r="P57" s="17" t="s">
        <v>33</v>
      </c>
      <c r="Q57" s="20" t="n">
        <f aca="false">DATE(D57,C57,B57)</f>
        <v>44672</v>
      </c>
      <c r="R57" s="17" t="str">
        <f aca="false">IF(HOUR(E57)&lt;6,"Madrugada (0-5 h)",IF(HOUR(E57)&lt;12,"Mañana (6-11 h)",IF(HOUR(E57)&lt;18,"Tarde (12-17 h)","Noche (18-23 h)")))</f>
        <v>Tarde (12-17 h)</v>
      </c>
    </row>
    <row r="58" customFormat="false" ht="15" hidden="false" customHeight="false" outlineLevel="0" collapsed="false">
      <c r="A58" s="17" t="n">
        <v>1057</v>
      </c>
      <c r="B58" s="17" t="n">
        <v>23</v>
      </c>
      <c r="C58" s="17" t="n">
        <v>2</v>
      </c>
      <c r="D58" s="17" t="n">
        <v>2021</v>
      </c>
      <c r="E58" s="18" t="n">
        <v>0.819050925925926</v>
      </c>
      <c r="F58" s="17" t="n">
        <v>2982</v>
      </c>
      <c r="G58" s="17" t="s">
        <v>256</v>
      </c>
      <c r="H58" s="17" t="s">
        <v>257</v>
      </c>
      <c r="I58" s="17" t="s">
        <v>258</v>
      </c>
      <c r="J58" s="17" t="s">
        <v>259</v>
      </c>
      <c r="K58" s="17" t="n">
        <v>16</v>
      </c>
      <c r="L58" s="17" t="s">
        <v>125</v>
      </c>
      <c r="M58" s="17" t="s">
        <v>82</v>
      </c>
      <c r="N58" s="19" t="n">
        <v>13.32</v>
      </c>
      <c r="O58" s="19" t="n">
        <v>213.12</v>
      </c>
      <c r="P58" s="17" t="s">
        <v>33</v>
      </c>
      <c r="Q58" s="20" t="n">
        <f aca="false">DATE(D58,C58,B58)</f>
        <v>44250</v>
      </c>
      <c r="R58" s="17" t="str">
        <f aca="false">IF(HOUR(E58)&lt;6,"Madrugada (0-5 h)",IF(HOUR(E58)&lt;12,"Mañana (6-11 h)",IF(HOUR(E58)&lt;18,"Tarde (12-17 h)","Noche (18-23 h)")))</f>
        <v>Noche (18-23 h)</v>
      </c>
    </row>
    <row r="59" customFormat="false" ht="15" hidden="false" customHeight="false" outlineLevel="0" collapsed="false">
      <c r="A59" s="17" t="n">
        <v>1058</v>
      </c>
      <c r="B59" s="17" t="n">
        <v>28</v>
      </c>
      <c r="C59" s="17" t="n">
        <v>9</v>
      </c>
      <c r="D59" s="17" t="n">
        <v>2022</v>
      </c>
      <c r="E59" s="18" t="n">
        <v>0.893217592592593</v>
      </c>
      <c r="F59" s="17" t="n">
        <v>3912</v>
      </c>
      <c r="G59" s="17" t="s">
        <v>260</v>
      </c>
      <c r="H59" s="17" t="s">
        <v>261</v>
      </c>
      <c r="I59" s="17" t="s">
        <v>262</v>
      </c>
      <c r="J59" s="17" t="s">
        <v>263</v>
      </c>
      <c r="K59" s="17" t="n">
        <v>39</v>
      </c>
      <c r="L59" s="17" t="s">
        <v>125</v>
      </c>
      <c r="M59" s="17" t="s">
        <v>82</v>
      </c>
      <c r="N59" s="19" t="n">
        <v>10.1</v>
      </c>
      <c r="O59" s="19" t="n">
        <v>393.9</v>
      </c>
      <c r="P59" s="17" t="s">
        <v>33</v>
      </c>
      <c r="Q59" s="20" t="n">
        <f aca="false">DATE(D59,C59,B59)</f>
        <v>44832</v>
      </c>
      <c r="R59" s="17" t="str">
        <f aca="false">IF(HOUR(E59)&lt;6,"Madrugada (0-5 h)",IF(HOUR(E59)&lt;12,"Mañana (6-11 h)",IF(HOUR(E59)&lt;18,"Tarde (12-17 h)","Noche (18-23 h)")))</f>
        <v>Noche (18-23 h)</v>
      </c>
    </row>
    <row r="60" customFormat="false" ht="15" hidden="false" customHeight="false" outlineLevel="0" collapsed="false">
      <c r="A60" s="17" t="n">
        <v>1059</v>
      </c>
      <c r="B60" s="17" t="n">
        <v>9</v>
      </c>
      <c r="C60" s="17" t="n">
        <v>8</v>
      </c>
      <c r="D60" s="17" t="n">
        <v>2022</v>
      </c>
      <c r="E60" s="18" t="n">
        <v>0.898333333333333</v>
      </c>
      <c r="F60" s="17" t="n">
        <v>1542</v>
      </c>
      <c r="G60" s="17" t="s">
        <v>264</v>
      </c>
      <c r="H60" s="17" t="s">
        <v>265</v>
      </c>
      <c r="I60" s="17" t="s">
        <v>266</v>
      </c>
      <c r="J60" s="17" t="s">
        <v>129</v>
      </c>
      <c r="K60" s="17" t="n">
        <v>31</v>
      </c>
      <c r="L60" s="17" t="s">
        <v>61</v>
      </c>
      <c r="M60" s="17" t="s">
        <v>32</v>
      </c>
      <c r="N60" s="19" t="n">
        <v>4.56</v>
      </c>
      <c r="O60" s="19" t="n">
        <v>141.36</v>
      </c>
      <c r="P60" s="17" t="s">
        <v>33</v>
      </c>
      <c r="Q60" s="20" t="n">
        <f aca="false">DATE(D60,C60,B60)</f>
        <v>44782</v>
      </c>
      <c r="R60" s="17" t="str">
        <f aca="false">IF(HOUR(E60)&lt;6,"Madrugada (0-5 h)",IF(HOUR(E60)&lt;12,"Mañana (6-11 h)",IF(HOUR(E60)&lt;18,"Tarde (12-17 h)","Noche (18-23 h)")))</f>
        <v>Noche (18-23 h)</v>
      </c>
    </row>
    <row r="61" customFormat="false" ht="15" hidden="false" customHeight="false" outlineLevel="0" collapsed="false">
      <c r="A61" s="17" t="n">
        <v>1060</v>
      </c>
      <c r="B61" s="17" t="n">
        <v>10</v>
      </c>
      <c r="C61" s="17" t="n">
        <v>6</v>
      </c>
      <c r="D61" s="17" t="n">
        <v>2021</v>
      </c>
      <c r="E61" s="18" t="n">
        <v>0.378923611111111</v>
      </c>
      <c r="F61" s="17" t="n">
        <v>3489</v>
      </c>
      <c r="G61" s="17" t="s">
        <v>267</v>
      </c>
      <c r="H61" s="17" t="s">
        <v>267</v>
      </c>
      <c r="I61" s="17" t="s">
        <v>93</v>
      </c>
      <c r="J61" s="17" t="s">
        <v>268</v>
      </c>
      <c r="K61" s="17" t="n">
        <v>38</v>
      </c>
      <c r="L61" s="17" t="s">
        <v>61</v>
      </c>
      <c r="M61" s="17" t="s">
        <v>32</v>
      </c>
      <c r="N61" s="19" t="n">
        <v>5.56</v>
      </c>
      <c r="O61" s="19" t="n">
        <v>211.28</v>
      </c>
      <c r="P61" s="17" t="s">
        <v>33</v>
      </c>
      <c r="Q61" s="20" t="n">
        <f aca="false">DATE(D61,C61,B61)</f>
        <v>44357</v>
      </c>
      <c r="R61" s="17" t="str">
        <f aca="false">IF(HOUR(E61)&lt;6,"Madrugada (0-5 h)",IF(HOUR(E61)&lt;12,"Mañana (6-11 h)",IF(HOUR(E61)&lt;18,"Tarde (12-17 h)","Noche (18-23 h)")))</f>
        <v>Mañana (6-11 h)</v>
      </c>
    </row>
    <row r="62" customFormat="false" ht="15" hidden="false" customHeight="false" outlineLevel="0" collapsed="false">
      <c r="A62" s="17" t="n">
        <v>1061</v>
      </c>
      <c r="B62" s="17" t="n">
        <v>24</v>
      </c>
      <c r="C62" s="17" t="n">
        <v>11</v>
      </c>
      <c r="D62" s="17" t="n">
        <v>2022</v>
      </c>
      <c r="E62" s="18" t="n">
        <v>0.618831018518519</v>
      </c>
      <c r="F62" s="17" t="n">
        <v>2686</v>
      </c>
      <c r="G62" s="17" t="s">
        <v>269</v>
      </c>
      <c r="H62" s="17" t="s">
        <v>270</v>
      </c>
      <c r="I62" s="17" t="s">
        <v>271</v>
      </c>
      <c r="J62" s="17" t="s">
        <v>272</v>
      </c>
      <c r="K62" s="17" t="n">
        <v>39</v>
      </c>
      <c r="L62" s="17" t="s">
        <v>61</v>
      </c>
      <c r="M62" s="17" t="s">
        <v>32</v>
      </c>
      <c r="N62" s="19" t="n">
        <v>3.43</v>
      </c>
      <c r="O62" s="19" t="n">
        <v>133.77</v>
      </c>
      <c r="P62" s="17" t="s">
        <v>33</v>
      </c>
      <c r="Q62" s="20" t="n">
        <f aca="false">DATE(D62,C62,B62)</f>
        <v>44889</v>
      </c>
      <c r="R62" s="17" t="str">
        <f aca="false">IF(HOUR(E62)&lt;6,"Madrugada (0-5 h)",IF(HOUR(E62)&lt;12,"Mañana (6-11 h)",IF(HOUR(E62)&lt;18,"Tarde (12-17 h)","Noche (18-23 h)")))</f>
        <v>Tarde (12-17 h)</v>
      </c>
    </row>
    <row r="63" customFormat="false" ht="15" hidden="false" customHeight="false" outlineLevel="0" collapsed="false">
      <c r="A63" s="17" t="n">
        <v>1062</v>
      </c>
      <c r="B63" s="17" t="n">
        <v>27</v>
      </c>
      <c r="C63" s="17" t="n">
        <v>10</v>
      </c>
      <c r="D63" s="17" t="n">
        <v>2021</v>
      </c>
      <c r="E63" s="18" t="n">
        <v>0.047650462962963</v>
      </c>
      <c r="F63" s="17" t="n">
        <v>2166</v>
      </c>
      <c r="G63" s="17" t="s">
        <v>273</v>
      </c>
      <c r="H63" s="17" t="s">
        <v>274</v>
      </c>
      <c r="I63" s="17" t="s">
        <v>275</v>
      </c>
      <c r="J63" s="17" t="s">
        <v>276</v>
      </c>
      <c r="K63" s="17" t="n">
        <v>35</v>
      </c>
      <c r="L63" s="17" t="s">
        <v>31</v>
      </c>
      <c r="M63" s="17" t="s">
        <v>32</v>
      </c>
      <c r="N63" s="19" t="n">
        <v>15.02</v>
      </c>
      <c r="O63" s="19" t="n">
        <v>525.7</v>
      </c>
      <c r="P63" s="17" t="s">
        <v>33</v>
      </c>
      <c r="Q63" s="20" t="n">
        <f aca="false">DATE(D63,C63,B63)</f>
        <v>44496</v>
      </c>
      <c r="R63" s="17" t="str">
        <f aca="false">IF(HOUR(E63)&lt;6,"Madrugada (0-5 h)",IF(HOUR(E63)&lt;12,"Mañana (6-11 h)",IF(HOUR(E63)&lt;18,"Tarde (12-17 h)","Noche (18-23 h)")))</f>
        <v>Madrugada (0-5 h)</v>
      </c>
    </row>
    <row r="64" customFormat="false" ht="15" hidden="false" customHeight="false" outlineLevel="0" collapsed="false">
      <c r="A64" s="17" t="n">
        <v>1063</v>
      </c>
      <c r="B64" s="17" t="n">
        <v>20</v>
      </c>
      <c r="C64" s="17" t="n">
        <v>12</v>
      </c>
      <c r="D64" s="17" t="n">
        <v>2022</v>
      </c>
      <c r="E64" s="18" t="n">
        <v>0.122013888888889</v>
      </c>
      <c r="F64" s="17" t="n">
        <v>3647</v>
      </c>
      <c r="G64" s="17" t="s">
        <v>277</v>
      </c>
      <c r="H64" s="17" t="s">
        <v>278</v>
      </c>
      <c r="I64" s="17" t="s">
        <v>279</v>
      </c>
      <c r="J64" s="17" t="s">
        <v>280</v>
      </c>
      <c r="K64" s="17" t="n">
        <v>49</v>
      </c>
      <c r="L64" s="17" t="s">
        <v>31</v>
      </c>
      <c r="M64" s="17" t="s">
        <v>32</v>
      </c>
      <c r="N64" s="19" t="n">
        <v>2.02</v>
      </c>
      <c r="O64" s="19" t="n">
        <v>98.98</v>
      </c>
      <c r="P64" s="17" t="s">
        <v>33</v>
      </c>
      <c r="Q64" s="20" t="n">
        <f aca="false">DATE(D64,C64,B64)</f>
        <v>44915</v>
      </c>
      <c r="R64" s="17" t="str">
        <f aca="false">IF(HOUR(E64)&lt;6,"Madrugada (0-5 h)",IF(HOUR(E64)&lt;12,"Mañana (6-11 h)",IF(HOUR(E64)&lt;18,"Tarde (12-17 h)","Noche (18-23 h)")))</f>
        <v>Madrugada (0-5 h)</v>
      </c>
    </row>
    <row r="65" customFormat="false" ht="15" hidden="false" customHeight="false" outlineLevel="0" collapsed="false">
      <c r="A65" s="17" t="n">
        <v>1064</v>
      </c>
      <c r="B65" s="17" t="n">
        <v>27</v>
      </c>
      <c r="C65" s="17" t="n">
        <v>12</v>
      </c>
      <c r="D65" s="17" t="n">
        <v>2022</v>
      </c>
      <c r="E65" s="18" t="n">
        <v>0.177789351851852</v>
      </c>
      <c r="F65" s="17" t="n">
        <v>3921</v>
      </c>
      <c r="G65" s="17" t="s">
        <v>224</v>
      </c>
      <c r="H65" s="17" t="s">
        <v>224</v>
      </c>
      <c r="I65" s="17" t="s">
        <v>281</v>
      </c>
      <c r="J65" s="17" t="s">
        <v>282</v>
      </c>
      <c r="K65" s="17" t="n">
        <v>4</v>
      </c>
      <c r="L65" s="17" t="s">
        <v>31</v>
      </c>
      <c r="M65" s="17" t="s">
        <v>32</v>
      </c>
      <c r="N65" s="19" t="n">
        <v>2.45</v>
      </c>
      <c r="O65" s="19" t="n">
        <v>9.8</v>
      </c>
      <c r="P65" s="17" t="s">
        <v>33</v>
      </c>
      <c r="Q65" s="20" t="n">
        <f aca="false">DATE(D65,C65,B65)</f>
        <v>44922</v>
      </c>
      <c r="R65" s="17" t="str">
        <f aca="false">IF(HOUR(E65)&lt;6,"Madrugada (0-5 h)",IF(HOUR(E65)&lt;12,"Mañana (6-11 h)",IF(HOUR(E65)&lt;18,"Tarde (12-17 h)","Noche (18-23 h)")))</f>
        <v>Madrugada (0-5 h)</v>
      </c>
    </row>
    <row r="66" customFormat="false" ht="15" hidden="false" customHeight="false" outlineLevel="0" collapsed="false">
      <c r="A66" s="17" t="n">
        <v>1065</v>
      </c>
      <c r="B66" s="17" t="n">
        <v>1</v>
      </c>
      <c r="C66" s="17" t="n">
        <v>9</v>
      </c>
      <c r="D66" s="17" t="n">
        <v>2022</v>
      </c>
      <c r="E66" s="18" t="n">
        <v>0.870324074074074</v>
      </c>
      <c r="F66" s="17" t="n">
        <v>3376</v>
      </c>
      <c r="G66" s="17" t="s">
        <v>220</v>
      </c>
      <c r="H66" s="17" t="s">
        <v>221</v>
      </c>
      <c r="I66" s="17" t="s">
        <v>283</v>
      </c>
      <c r="J66" s="17" t="s">
        <v>284</v>
      </c>
      <c r="K66" s="17" t="n">
        <v>33</v>
      </c>
      <c r="L66" s="17" t="s">
        <v>31</v>
      </c>
      <c r="M66" s="17" t="s">
        <v>32</v>
      </c>
      <c r="N66" s="19" t="n">
        <v>6.53</v>
      </c>
      <c r="O66" s="19" t="n">
        <v>215.49</v>
      </c>
      <c r="P66" s="17" t="s">
        <v>33</v>
      </c>
      <c r="Q66" s="20" t="n">
        <f aca="false">DATE(D66,C66,B66)</f>
        <v>44805</v>
      </c>
      <c r="R66" s="17" t="str">
        <f aca="false">IF(HOUR(E66)&lt;6,"Madrugada (0-5 h)",IF(HOUR(E66)&lt;12,"Mañana (6-11 h)",IF(HOUR(E66)&lt;18,"Tarde (12-17 h)","Noche (18-23 h)")))</f>
        <v>Noche (18-23 h)</v>
      </c>
    </row>
    <row r="67" customFormat="false" ht="15" hidden="false" customHeight="false" outlineLevel="0" collapsed="false">
      <c r="A67" s="17" t="n">
        <v>1066</v>
      </c>
      <c r="B67" s="17" t="n">
        <v>1</v>
      </c>
      <c r="C67" s="17" t="n">
        <v>12</v>
      </c>
      <c r="D67" s="17" t="n">
        <v>2022</v>
      </c>
      <c r="E67" s="18" t="n">
        <v>0.302534722222222</v>
      </c>
      <c r="F67" s="17" t="n">
        <v>1876</v>
      </c>
      <c r="G67" s="17" t="s">
        <v>285</v>
      </c>
      <c r="H67" s="17" t="s">
        <v>286</v>
      </c>
      <c r="I67" s="17" t="s">
        <v>287</v>
      </c>
      <c r="J67" s="17" t="s">
        <v>288</v>
      </c>
      <c r="K67" s="17" t="n">
        <v>25</v>
      </c>
      <c r="L67" s="17" t="s">
        <v>31</v>
      </c>
      <c r="M67" s="17" t="s">
        <v>32</v>
      </c>
      <c r="N67" s="19" t="n">
        <v>5.55</v>
      </c>
      <c r="O67" s="19" t="n">
        <v>138.75</v>
      </c>
      <c r="P67" s="17" t="s">
        <v>33</v>
      </c>
      <c r="Q67" s="20" t="n">
        <f aca="false">DATE(D67,C67,B67)</f>
        <v>44896</v>
      </c>
      <c r="R67" s="17" t="str">
        <f aca="false">IF(HOUR(E67)&lt;6,"Madrugada (0-5 h)",IF(HOUR(E67)&lt;12,"Mañana (6-11 h)",IF(HOUR(E67)&lt;18,"Tarde (12-17 h)","Noche (18-23 h)")))</f>
        <v>Mañana (6-11 h)</v>
      </c>
    </row>
    <row r="68" customFormat="false" ht="15" hidden="false" customHeight="false" outlineLevel="0" collapsed="false">
      <c r="A68" s="17" t="n">
        <v>1067</v>
      </c>
      <c r="B68" s="17" t="n">
        <v>28</v>
      </c>
      <c r="C68" s="17" t="n">
        <v>8</v>
      </c>
      <c r="D68" s="17" t="n">
        <v>2022</v>
      </c>
      <c r="E68" s="18" t="n">
        <v>0.058587962962963</v>
      </c>
      <c r="F68" s="17" t="n">
        <v>3136</v>
      </c>
      <c r="G68" s="17" t="s">
        <v>91</v>
      </c>
      <c r="H68" s="17" t="s">
        <v>92</v>
      </c>
      <c r="I68" s="17" t="s">
        <v>289</v>
      </c>
      <c r="J68" s="17" t="s">
        <v>290</v>
      </c>
      <c r="K68" s="17" t="n">
        <v>22</v>
      </c>
      <c r="L68" s="17" t="s">
        <v>61</v>
      </c>
      <c r="M68" s="17" t="s">
        <v>32</v>
      </c>
      <c r="N68" s="19" t="n">
        <v>4.12</v>
      </c>
      <c r="O68" s="19" t="n">
        <v>90.64</v>
      </c>
      <c r="P68" s="17" t="s">
        <v>33</v>
      </c>
      <c r="Q68" s="20" t="n">
        <f aca="false">DATE(D68,C68,B68)</f>
        <v>44801</v>
      </c>
      <c r="R68" s="17" t="str">
        <f aca="false">IF(HOUR(E68)&lt;6,"Madrugada (0-5 h)",IF(HOUR(E68)&lt;12,"Mañana (6-11 h)",IF(HOUR(E68)&lt;18,"Tarde (12-17 h)","Noche (18-23 h)")))</f>
        <v>Madrugada (0-5 h)</v>
      </c>
    </row>
    <row r="69" customFormat="false" ht="15" hidden="false" customHeight="false" outlineLevel="0" collapsed="false">
      <c r="A69" s="17" t="n">
        <v>1068</v>
      </c>
      <c r="B69" s="17" t="n">
        <v>20</v>
      </c>
      <c r="C69" s="17" t="n">
        <v>5</v>
      </c>
      <c r="D69" s="17" t="n">
        <v>2021</v>
      </c>
      <c r="E69" s="18" t="n">
        <v>0.518599537037037</v>
      </c>
      <c r="F69" s="17" t="n">
        <v>1949</v>
      </c>
      <c r="G69" s="17" t="s">
        <v>291</v>
      </c>
      <c r="H69" s="17" t="s">
        <v>292</v>
      </c>
      <c r="I69" s="17" t="s">
        <v>293</v>
      </c>
      <c r="J69" s="17" t="s">
        <v>294</v>
      </c>
      <c r="K69" s="17" t="n">
        <v>48</v>
      </c>
      <c r="L69" s="17" t="s">
        <v>42</v>
      </c>
      <c r="M69" s="17" t="s">
        <v>32</v>
      </c>
      <c r="N69" s="19" t="n">
        <v>5.76</v>
      </c>
      <c r="O69" s="19" t="n">
        <v>276.48</v>
      </c>
      <c r="P69" s="17" t="s">
        <v>33</v>
      </c>
      <c r="Q69" s="20" t="n">
        <f aca="false">DATE(D69,C69,B69)</f>
        <v>44336</v>
      </c>
      <c r="R69" s="17" t="str">
        <f aca="false">IF(HOUR(E69)&lt;6,"Madrugada (0-5 h)",IF(HOUR(E69)&lt;12,"Mañana (6-11 h)",IF(HOUR(E69)&lt;18,"Tarde (12-17 h)","Noche (18-23 h)")))</f>
        <v>Tarde (12-17 h)</v>
      </c>
    </row>
    <row r="70" customFormat="false" ht="15" hidden="false" customHeight="false" outlineLevel="0" collapsed="false">
      <c r="A70" s="17" t="n">
        <v>1069</v>
      </c>
      <c r="B70" s="17" t="n">
        <v>15</v>
      </c>
      <c r="C70" s="17" t="n">
        <v>9</v>
      </c>
      <c r="D70" s="17" t="n">
        <v>2022</v>
      </c>
      <c r="E70" s="18" t="n">
        <v>0.788946759259259</v>
      </c>
      <c r="F70" s="17" t="n">
        <v>3267</v>
      </c>
      <c r="G70" s="17" t="s">
        <v>295</v>
      </c>
      <c r="H70" s="17" t="s">
        <v>296</v>
      </c>
      <c r="I70" s="17" t="s">
        <v>297</v>
      </c>
      <c r="J70" s="17" t="s">
        <v>298</v>
      </c>
      <c r="K70" s="17" t="n">
        <v>40</v>
      </c>
      <c r="L70" s="17" t="s">
        <v>98</v>
      </c>
      <c r="M70" s="17" t="s">
        <v>62</v>
      </c>
      <c r="N70" s="19" t="n">
        <v>3.5</v>
      </c>
      <c r="O70" s="19" t="n">
        <v>140</v>
      </c>
      <c r="P70" s="17" t="s">
        <v>33</v>
      </c>
      <c r="Q70" s="20" t="n">
        <f aca="false">DATE(D70,C70,B70)</f>
        <v>44819</v>
      </c>
      <c r="R70" s="17" t="str">
        <f aca="false">IF(HOUR(E70)&lt;6,"Madrugada (0-5 h)",IF(HOUR(E70)&lt;12,"Mañana (6-11 h)",IF(HOUR(E70)&lt;18,"Tarde (12-17 h)","Noche (18-23 h)")))</f>
        <v>Noche (18-23 h)</v>
      </c>
    </row>
    <row r="71" customFormat="false" ht="15" hidden="false" customHeight="false" outlineLevel="0" collapsed="false">
      <c r="A71" s="17" t="n">
        <v>1070</v>
      </c>
      <c r="B71" s="17" t="n">
        <v>4</v>
      </c>
      <c r="C71" s="17" t="n">
        <v>6</v>
      </c>
      <c r="D71" s="17" t="n">
        <v>2022</v>
      </c>
      <c r="E71" s="18" t="n">
        <v>0.0320023148148148</v>
      </c>
      <c r="F71" s="17" t="n">
        <v>1188</v>
      </c>
      <c r="G71" s="17" t="s">
        <v>72</v>
      </c>
      <c r="H71" s="17" t="s">
        <v>299</v>
      </c>
      <c r="I71" s="17" t="s">
        <v>300</v>
      </c>
      <c r="J71" s="17" t="s">
        <v>301</v>
      </c>
      <c r="K71" s="17" t="n">
        <v>33</v>
      </c>
      <c r="L71" s="17" t="s">
        <v>61</v>
      </c>
      <c r="M71" s="17" t="s">
        <v>76</v>
      </c>
      <c r="N71" s="19" t="n">
        <v>13.71</v>
      </c>
      <c r="O71" s="19" t="n">
        <v>452.43</v>
      </c>
      <c r="P71" s="17" t="s">
        <v>33</v>
      </c>
      <c r="Q71" s="20" t="n">
        <f aca="false">DATE(D71,C71,B71)</f>
        <v>44716</v>
      </c>
      <c r="R71" s="17" t="str">
        <f aca="false">IF(HOUR(E71)&lt;6,"Madrugada (0-5 h)",IF(HOUR(E71)&lt;12,"Mañana (6-11 h)",IF(HOUR(E71)&lt;18,"Tarde (12-17 h)","Noche (18-23 h)")))</f>
        <v>Madrugada (0-5 h)</v>
      </c>
    </row>
    <row r="72" customFormat="false" ht="15" hidden="false" customHeight="false" outlineLevel="0" collapsed="false">
      <c r="A72" s="17" t="n">
        <v>1071</v>
      </c>
      <c r="B72" s="17" t="n">
        <v>12</v>
      </c>
      <c r="C72" s="17" t="n">
        <v>1</v>
      </c>
      <c r="D72" s="17" t="n">
        <v>2022</v>
      </c>
      <c r="E72" s="18" t="n">
        <v>0.63556712962963</v>
      </c>
      <c r="F72" s="17" t="n">
        <v>2579</v>
      </c>
      <c r="G72" s="17" t="s">
        <v>302</v>
      </c>
      <c r="H72" s="17" t="s">
        <v>303</v>
      </c>
      <c r="I72" s="17" t="s">
        <v>300</v>
      </c>
      <c r="J72" s="17" t="s">
        <v>301</v>
      </c>
      <c r="K72" s="17" t="n">
        <v>13</v>
      </c>
      <c r="L72" s="17" t="s">
        <v>61</v>
      </c>
      <c r="M72" s="17" t="s">
        <v>76</v>
      </c>
      <c r="N72" s="19" t="n">
        <v>22.36</v>
      </c>
      <c r="O72" s="19" t="n">
        <v>290.68</v>
      </c>
      <c r="P72" s="17" t="s">
        <v>33</v>
      </c>
      <c r="Q72" s="20" t="n">
        <f aca="false">DATE(D72,C72,B72)</f>
        <v>44573</v>
      </c>
      <c r="R72" s="17" t="str">
        <f aca="false">IF(HOUR(E72)&lt;6,"Madrugada (0-5 h)",IF(HOUR(E72)&lt;12,"Mañana (6-11 h)",IF(HOUR(E72)&lt;18,"Tarde (12-17 h)","Noche (18-23 h)")))</f>
        <v>Tarde (12-17 h)</v>
      </c>
    </row>
    <row r="73" customFormat="false" ht="15" hidden="false" customHeight="false" outlineLevel="0" collapsed="false">
      <c r="A73" s="17" t="n">
        <v>1072</v>
      </c>
      <c r="B73" s="17" t="n">
        <v>10</v>
      </c>
      <c r="C73" s="17" t="n">
        <v>5</v>
      </c>
      <c r="D73" s="17" t="n">
        <v>2022</v>
      </c>
      <c r="E73" s="18" t="n">
        <v>0.908831018518519</v>
      </c>
      <c r="F73" s="17" t="n">
        <v>2669</v>
      </c>
      <c r="G73" s="17" t="s">
        <v>304</v>
      </c>
      <c r="H73" s="17" t="s">
        <v>305</v>
      </c>
      <c r="I73" s="17" t="s">
        <v>305</v>
      </c>
      <c r="J73" s="17" t="s">
        <v>306</v>
      </c>
      <c r="K73" s="17" t="n">
        <v>32</v>
      </c>
      <c r="L73" s="17" t="s">
        <v>31</v>
      </c>
      <c r="M73" s="17" t="s">
        <v>32</v>
      </c>
      <c r="N73" s="19" t="n">
        <v>6.68</v>
      </c>
      <c r="O73" s="19" t="n">
        <v>213.76</v>
      </c>
      <c r="P73" s="17" t="s">
        <v>33</v>
      </c>
      <c r="Q73" s="20" t="n">
        <f aca="false">DATE(D73,C73,B73)</f>
        <v>44691</v>
      </c>
      <c r="R73" s="17" t="str">
        <f aca="false">IF(HOUR(E73)&lt;6,"Madrugada (0-5 h)",IF(HOUR(E73)&lt;12,"Mañana (6-11 h)",IF(HOUR(E73)&lt;18,"Tarde (12-17 h)","Noche (18-23 h)")))</f>
        <v>Noche (18-23 h)</v>
      </c>
    </row>
    <row r="74" customFormat="false" ht="15" hidden="false" customHeight="false" outlineLevel="0" collapsed="false">
      <c r="A74" s="17" t="n">
        <v>1073</v>
      </c>
      <c r="B74" s="17" t="n">
        <v>15</v>
      </c>
      <c r="C74" s="17" t="n">
        <v>2</v>
      </c>
      <c r="D74" s="17" t="n">
        <v>2021</v>
      </c>
      <c r="E74" s="18" t="n">
        <v>0.611608796296296</v>
      </c>
      <c r="F74" s="17" t="n">
        <v>2138</v>
      </c>
      <c r="G74" s="17" t="s">
        <v>307</v>
      </c>
      <c r="H74" s="17" t="s">
        <v>250</v>
      </c>
      <c r="I74" s="17" t="s">
        <v>308</v>
      </c>
      <c r="J74" s="17" t="s">
        <v>309</v>
      </c>
      <c r="K74" s="17" t="n">
        <v>20</v>
      </c>
      <c r="L74" s="17" t="s">
        <v>31</v>
      </c>
      <c r="M74" s="17" t="s">
        <v>32</v>
      </c>
      <c r="N74" s="19" t="n">
        <v>10.05</v>
      </c>
      <c r="O74" s="19" t="n">
        <v>201</v>
      </c>
      <c r="P74" s="17" t="s">
        <v>33</v>
      </c>
      <c r="Q74" s="20" t="n">
        <f aca="false">DATE(D74,C74,B74)</f>
        <v>44242</v>
      </c>
      <c r="R74" s="17" t="str">
        <f aca="false">IF(HOUR(E74)&lt;6,"Madrugada (0-5 h)",IF(HOUR(E74)&lt;12,"Mañana (6-11 h)",IF(HOUR(E74)&lt;18,"Tarde (12-17 h)","Noche (18-23 h)")))</f>
        <v>Tarde (12-17 h)</v>
      </c>
    </row>
    <row r="75" customFormat="false" ht="15" hidden="false" customHeight="false" outlineLevel="0" collapsed="false">
      <c r="A75" s="17" t="n">
        <v>1074</v>
      </c>
      <c r="B75" s="17" t="n">
        <v>27</v>
      </c>
      <c r="C75" s="17" t="n">
        <v>7</v>
      </c>
      <c r="D75" s="17" t="n">
        <v>2022</v>
      </c>
      <c r="E75" s="18" t="n">
        <v>0.692696759259259</v>
      </c>
      <c r="F75" s="17" t="n">
        <v>3778</v>
      </c>
      <c r="G75" s="17" t="s">
        <v>310</v>
      </c>
      <c r="H75" s="17" t="s">
        <v>311</v>
      </c>
      <c r="I75" s="17" t="s">
        <v>312</v>
      </c>
      <c r="J75" s="17" t="s">
        <v>313</v>
      </c>
      <c r="K75" s="17" t="n">
        <v>1</v>
      </c>
      <c r="L75" s="17" t="s">
        <v>31</v>
      </c>
      <c r="M75" s="17" t="s">
        <v>32</v>
      </c>
      <c r="N75" s="19" t="n">
        <v>1.55</v>
      </c>
      <c r="O75" s="19" t="n">
        <v>1.55</v>
      </c>
      <c r="P75" s="17" t="s">
        <v>33</v>
      </c>
      <c r="Q75" s="20" t="n">
        <f aca="false">DATE(D75,C75,B75)</f>
        <v>44769</v>
      </c>
      <c r="R75" s="17" t="str">
        <f aca="false">IF(HOUR(E75)&lt;6,"Madrugada (0-5 h)",IF(HOUR(E75)&lt;12,"Mañana (6-11 h)",IF(HOUR(E75)&lt;18,"Tarde (12-17 h)","Noche (18-23 h)")))</f>
        <v>Tarde (12-17 h)</v>
      </c>
    </row>
    <row r="76" customFormat="false" ht="15" hidden="false" customHeight="false" outlineLevel="0" collapsed="false">
      <c r="A76" s="17" t="n">
        <v>1075</v>
      </c>
      <c r="B76" s="17" t="n">
        <v>9</v>
      </c>
      <c r="C76" s="17" t="n">
        <v>8</v>
      </c>
      <c r="D76" s="17" t="n">
        <v>2021</v>
      </c>
      <c r="E76" s="18" t="n">
        <v>0.609803240740741</v>
      </c>
      <c r="F76" s="17" t="n">
        <v>4924</v>
      </c>
      <c r="G76" s="17" t="s">
        <v>314</v>
      </c>
      <c r="H76" s="17" t="s">
        <v>315</v>
      </c>
      <c r="I76" s="17" t="s">
        <v>316</v>
      </c>
      <c r="J76" s="17" t="s">
        <v>317</v>
      </c>
      <c r="K76" s="17" t="n">
        <v>17</v>
      </c>
      <c r="L76" s="17" t="s">
        <v>31</v>
      </c>
      <c r="M76" s="17" t="s">
        <v>32</v>
      </c>
      <c r="N76" s="19" t="n">
        <v>4.55</v>
      </c>
      <c r="O76" s="19" t="n">
        <v>77.35</v>
      </c>
      <c r="P76" s="17" t="s">
        <v>33</v>
      </c>
      <c r="Q76" s="20" t="n">
        <f aca="false">DATE(D76,C76,B76)</f>
        <v>44417</v>
      </c>
      <c r="R76" s="17" t="str">
        <f aca="false">IF(HOUR(E76)&lt;6,"Madrugada (0-5 h)",IF(HOUR(E76)&lt;12,"Mañana (6-11 h)",IF(HOUR(E76)&lt;18,"Tarde (12-17 h)","Noche (18-23 h)")))</f>
        <v>Tarde (12-17 h)</v>
      </c>
    </row>
    <row r="77" customFormat="false" ht="15" hidden="false" customHeight="false" outlineLevel="0" collapsed="false">
      <c r="A77" s="17" t="n">
        <v>1076</v>
      </c>
      <c r="B77" s="17" t="n">
        <v>1</v>
      </c>
      <c r="C77" s="17" t="n">
        <v>10</v>
      </c>
      <c r="D77" s="17" t="n">
        <v>2021</v>
      </c>
      <c r="E77" s="18" t="n">
        <v>0.328969907407407</v>
      </c>
      <c r="F77" s="17" t="n">
        <v>2995</v>
      </c>
      <c r="G77" s="17" t="s">
        <v>318</v>
      </c>
      <c r="H77" s="17" t="s">
        <v>319</v>
      </c>
      <c r="I77" s="17" t="s">
        <v>320</v>
      </c>
      <c r="J77" s="17" t="s">
        <v>321</v>
      </c>
      <c r="K77" s="17" t="n">
        <v>26</v>
      </c>
      <c r="L77" s="17" t="s">
        <v>31</v>
      </c>
      <c r="M77" s="17" t="s">
        <v>82</v>
      </c>
      <c r="N77" s="19" t="n">
        <v>5.74</v>
      </c>
      <c r="O77" s="19" t="n">
        <v>149.24</v>
      </c>
      <c r="P77" s="17" t="s">
        <v>33</v>
      </c>
      <c r="Q77" s="20" t="n">
        <f aca="false">DATE(D77,C77,B77)</f>
        <v>44470</v>
      </c>
      <c r="R77" s="17" t="str">
        <f aca="false">IF(HOUR(E77)&lt;6,"Madrugada (0-5 h)",IF(HOUR(E77)&lt;12,"Mañana (6-11 h)",IF(HOUR(E77)&lt;18,"Tarde (12-17 h)","Noche (18-23 h)")))</f>
        <v>Mañana (6-11 h)</v>
      </c>
    </row>
    <row r="78" customFormat="false" ht="15" hidden="false" customHeight="false" outlineLevel="0" collapsed="false">
      <c r="A78" s="17" t="n">
        <v>1077</v>
      </c>
      <c r="B78" s="17" t="n">
        <v>4</v>
      </c>
      <c r="C78" s="17" t="n">
        <v>9</v>
      </c>
      <c r="D78" s="17" t="n">
        <v>2021</v>
      </c>
      <c r="E78" s="18" t="n">
        <v>0.286539351851852</v>
      </c>
      <c r="F78" s="17" t="n">
        <v>1612</v>
      </c>
      <c r="G78" s="17" t="s">
        <v>322</v>
      </c>
      <c r="H78" s="17" t="s">
        <v>323</v>
      </c>
      <c r="I78" s="17" t="s">
        <v>324</v>
      </c>
      <c r="J78" s="17" t="s">
        <v>325</v>
      </c>
      <c r="K78" s="17" t="n">
        <v>12</v>
      </c>
      <c r="L78" s="17" t="s">
        <v>61</v>
      </c>
      <c r="M78" s="17" t="s">
        <v>76</v>
      </c>
      <c r="N78" s="19" t="n">
        <v>10.99</v>
      </c>
      <c r="O78" s="19" t="n">
        <v>131.88</v>
      </c>
      <c r="P78" s="17" t="s">
        <v>33</v>
      </c>
      <c r="Q78" s="20" t="n">
        <f aca="false">DATE(D78,C78,B78)</f>
        <v>44443</v>
      </c>
      <c r="R78" s="17" t="str">
        <f aca="false">IF(HOUR(E78)&lt;6,"Madrugada (0-5 h)",IF(HOUR(E78)&lt;12,"Mañana (6-11 h)",IF(HOUR(E78)&lt;18,"Tarde (12-17 h)","Noche (18-23 h)")))</f>
        <v>Mañana (6-11 h)</v>
      </c>
    </row>
    <row r="79" customFormat="false" ht="15" hidden="false" customHeight="false" outlineLevel="0" collapsed="false">
      <c r="A79" s="17" t="n">
        <v>1078</v>
      </c>
      <c r="B79" s="17" t="n">
        <v>18</v>
      </c>
      <c r="C79" s="17" t="n">
        <v>4</v>
      </c>
      <c r="D79" s="17" t="n">
        <v>2021</v>
      </c>
      <c r="E79" s="18" t="n">
        <v>0.688854166666667</v>
      </c>
      <c r="F79" s="17" t="n">
        <v>1280</v>
      </c>
      <c r="G79" s="17" t="s">
        <v>188</v>
      </c>
      <c r="H79" s="17" t="s">
        <v>326</v>
      </c>
      <c r="I79" s="17" t="s">
        <v>190</v>
      </c>
      <c r="J79" s="17" t="s">
        <v>191</v>
      </c>
      <c r="K79" s="17" t="n">
        <v>40</v>
      </c>
      <c r="L79" s="17" t="s">
        <v>61</v>
      </c>
      <c r="M79" s="17" t="s">
        <v>76</v>
      </c>
      <c r="N79" s="19" t="n">
        <v>13.55</v>
      </c>
      <c r="O79" s="19" t="n">
        <v>542</v>
      </c>
      <c r="P79" s="17" t="s">
        <v>43</v>
      </c>
      <c r="Q79" s="20" t="n">
        <f aca="false">DATE(D79,C79,B79)</f>
        <v>44304</v>
      </c>
      <c r="R79" s="17" t="str">
        <f aca="false">IF(HOUR(E79)&lt;6,"Madrugada (0-5 h)",IF(HOUR(E79)&lt;12,"Mañana (6-11 h)",IF(HOUR(E79)&lt;18,"Tarde (12-17 h)","Noche (18-23 h)")))</f>
        <v>Tarde (12-17 h)</v>
      </c>
    </row>
    <row r="80" customFormat="false" ht="15" hidden="false" customHeight="false" outlineLevel="0" collapsed="false">
      <c r="A80" s="17" t="n">
        <v>1079</v>
      </c>
      <c r="B80" s="17" t="n">
        <v>2</v>
      </c>
      <c r="C80" s="17" t="n">
        <v>6</v>
      </c>
      <c r="D80" s="17" t="n">
        <v>2021</v>
      </c>
      <c r="E80" s="18" t="n">
        <v>0.899548611111111</v>
      </c>
      <c r="F80" s="17" t="n">
        <v>1623</v>
      </c>
      <c r="G80" s="17" t="s">
        <v>327</v>
      </c>
      <c r="H80" s="17" t="s">
        <v>84</v>
      </c>
      <c r="I80" s="17" t="s">
        <v>222</v>
      </c>
      <c r="J80" s="17" t="s">
        <v>328</v>
      </c>
      <c r="K80" s="17" t="n">
        <v>45</v>
      </c>
      <c r="L80" s="17" t="s">
        <v>42</v>
      </c>
      <c r="M80" s="17" t="s">
        <v>32</v>
      </c>
      <c r="N80" s="19" t="n">
        <v>5.56</v>
      </c>
      <c r="O80" s="19" t="n">
        <v>250.2</v>
      </c>
      <c r="P80" s="17" t="s">
        <v>33</v>
      </c>
      <c r="Q80" s="20" t="n">
        <f aca="false">DATE(D80,C80,B80)</f>
        <v>44349</v>
      </c>
      <c r="R80" s="17" t="str">
        <f aca="false">IF(HOUR(E80)&lt;6,"Madrugada (0-5 h)",IF(HOUR(E80)&lt;12,"Mañana (6-11 h)",IF(HOUR(E80)&lt;18,"Tarde (12-17 h)","Noche (18-23 h)")))</f>
        <v>Noche (18-23 h)</v>
      </c>
    </row>
    <row r="81" customFormat="false" ht="15" hidden="false" customHeight="false" outlineLevel="0" collapsed="false">
      <c r="A81" s="17" t="n">
        <v>1080</v>
      </c>
      <c r="B81" s="17" t="n">
        <v>8</v>
      </c>
      <c r="C81" s="17" t="n">
        <v>11</v>
      </c>
      <c r="D81" s="17" t="n">
        <v>2021</v>
      </c>
      <c r="E81" s="18" t="n">
        <v>0.313773148148148</v>
      </c>
      <c r="F81" s="17" t="n">
        <v>4843</v>
      </c>
      <c r="G81" s="17" t="s">
        <v>329</v>
      </c>
      <c r="H81" s="17" t="s">
        <v>330</v>
      </c>
      <c r="I81" s="17" t="s">
        <v>331</v>
      </c>
      <c r="J81" s="17" t="s">
        <v>332</v>
      </c>
      <c r="K81" s="17" t="n">
        <v>31</v>
      </c>
      <c r="L81" s="17" t="s">
        <v>81</v>
      </c>
      <c r="M81" s="17" t="s">
        <v>333</v>
      </c>
      <c r="N81" s="19" t="n">
        <v>3.32</v>
      </c>
      <c r="O81" s="19" t="n">
        <v>102.92</v>
      </c>
      <c r="P81" s="17" t="s">
        <v>43</v>
      </c>
      <c r="Q81" s="20" t="n">
        <f aca="false">DATE(D81,C81,B81)</f>
        <v>44508</v>
      </c>
      <c r="R81" s="17" t="str">
        <f aca="false">IF(HOUR(E81)&lt;6,"Madrugada (0-5 h)",IF(HOUR(E81)&lt;12,"Mañana (6-11 h)",IF(HOUR(E81)&lt;18,"Tarde (12-17 h)","Noche (18-23 h)")))</f>
        <v>Mañana (6-11 h)</v>
      </c>
    </row>
    <row r="82" customFormat="false" ht="15" hidden="false" customHeight="false" outlineLevel="0" collapsed="false">
      <c r="A82" s="17" t="n">
        <v>1081</v>
      </c>
      <c r="B82" s="17" t="n">
        <v>9</v>
      </c>
      <c r="C82" s="17" t="n">
        <v>12</v>
      </c>
      <c r="D82" s="17" t="n">
        <v>2022</v>
      </c>
      <c r="E82" s="18" t="n">
        <v>0.28837962962963</v>
      </c>
      <c r="F82" s="17" t="n">
        <v>2904</v>
      </c>
      <c r="G82" s="17" t="s">
        <v>334</v>
      </c>
      <c r="H82" s="17" t="s">
        <v>88</v>
      </c>
      <c r="I82" s="17" t="s">
        <v>335</v>
      </c>
      <c r="J82" s="17" t="s">
        <v>336</v>
      </c>
      <c r="K82" s="17" t="n">
        <v>46</v>
      </c>
      <c r="L82" s="17" t="s">
        <v>81</v>
      </c>
      <c r="M82" s="17" t="s">
        <v>333</v>
      </c>
      <c r="N82" s="19" t="n">
        <v>54</v>
      </c>
      <c r="O82" s="19" t="n">
        <v>2484</v>
      </c>
      <c r="P82" s="17" t="s">
        <v>33</v>
      </c>
      <c r="Q82" s="20" t="n">
        <f aca="false">DATE(D82,C82,B82)</f>
        <v>44904</v>
      </c>
      <c r="R82" s="17" t="str">
        <f aca="false">IF(HOUR(E82)&lt;6,"Madrugada (0-5 h)",IF(HOUR(E82)&lt;12,"Mañana (6-11 h)",IF(HOUR(E82)&lt;18,"Tarde (12-17 h)","Noche (18-23 h)")))</f>
        <v>Mañana (6-11 h)</v>
      </c>
    </row>
    <row r="83" customFormat="false" ht="15" hidden="false" customHeight="false" outlineLevel="0" collapsed="false">
      <c r="A83" s="17" t="n">
        <v>1082</v>
      </c>
      <c r="B83" s="17" t="n">
        <v>4</v>
      </c>
      <c r="C83" s="17" t="n">
        <v>5</v>
      </c>
      <c r="D83" s="17" t="n">
        <v>2022</v>
      </c>
      <c r="E83" s="18" t="n">
        <v>0.0411689814814815</v>
      </c>
      <c r="F83" s="17" t="n">
        <v>4259</v>
      </c>
      <c r="G83" s="17" t="s">
        <v>337</v>
      </c>
      <c r="H83" s="17" t="s">
        <v>338</v>
      </c>
      <c r="I83" s="17" t="s">
        <v>339</v>
      </c>
      <c r="J83" s="17" t="s">
        <v>340</v>
      </c>
      <c r="K83" s="17" t="n">
        <v>21</v>
      </c>
      <c r="L83" s="17" t="s">
        <v>81</v>
      </c>
      <c r="M83" s="17" t="s">
        <v>333</v>
      </c>
      <c r="N83" s="19" t="n">
        <v>13.42</v>
      </c>
      <c r="O83" s="19" t="n">
        <v>281.82</v>
      </c>
      <c r="P83" s="17" t="s">
        <v>33</v>
      </c>
      <c r="Q83" s="20" t="n">
        <f aca="false">DATE(D83,C83,B83)</f>
        <v>44685</v>
      </c>
      <c r="R83" s="17" t="str">
        <f aca="false">IF(HOUR(E83)&lt;6,"Madrugada (0-5 h)",IF(HOUR(E83)&lt;12,"Mañana (6-11 h)",IF(HOUR(E83)&lt;18,"Tarde (12-17 h)","Noche (18-23 h)")))</f>
        <v>Madrugada (0-5 h)</v>
      </c>
    </row>
    <row r="84" customFormat="false" ht="15" hidden="false" customHeight="false" outlineLevel="0" collapsed="false">
      <c r="A84" s="17" t="n">
        <v>1083</v>
      </c>
      <c r="B84" s="17" t="n">
        <v>3</v>
      </c>
      <c r="C84" s="17" t="n">
        <v>11</v>
      </c>
      <c r="D84" s="17" t="n">
        <v>2021</v>
      </c>
      <c r="E84" s="18" t="n">
        <v>0.200740740740741</v>
      </c>
      <c r="F84" s="17" t="n">
        <v>4199</v>
      </c>
      <c r="G84" s="17" t="s">
        <v>341</v>
      </c>
      <c r="H84" s="17" t="s">
        <v>342</v>
      </c>
      <c r="I84" s="17" t="s">
        <v>343</v>
      </c>
      <c r="J84" s="17" t="s">
        <v>344</v>
      </c>
      <c r="K84" s="17" t="n">
        <v>8</v>
      </c>
      <c r="L84" s="17" t="s">
        <v>81</v>
      </c>
      <c r="M84" s="17" t="s">
        <v>333</v>
      </c>
      <c r="N84" s="19" t="n">
        <v>45.04</v>
      </c>
      <c r="O84" s="19" t="n">
        <v>360.32</v>
      </c>
      <c r="P84" s="17" t="s">
        <v>33</v>
      </c>
      <c r="Q84" s="20" t="n">
        <f aca="false">DATE(D84,C84,B84)</f>
        <v>44503</v>
      </c>
      <c r="R84" s="17" t="str">
        <f aca="false">IF(HOUR(E84)&lt;6,"Madrugada (0-5 h)",IF(HOUR(E84)&lt;12,"Mañana (6-11 h)",IF(HOUR(E84)&lt;18,"Tarde (12-17 h)","Noche (18-23 h)")))</f>
        <v>Madrugada (0-5 h)</v>
      </c>
    </row>
    <row r="85" customFormat="false" ht="15" hidden="false" customHeight="false" outlineLevel="0" collapsed="false">
      <c r="A85" s="17" t="n">
        <v>1084</v>
      </c>
      <c r="B85" s="17" t="n">
        <v>5</v>
      </c>
      <c r="C85" s="17" t="n">
        <v>1</v>
      </c>
      <c r="D85" s="17" t="n">
        <v>2022</v>
      </c>
      <c r="E85" s="18" t="n">
        <v>0.346412037037037</v>
      </c>
      <c r="F85" s="17" t="n">
        <v>4742</v>
      </c>
      <c r="G85" s="17" t="s">
        <v>345</v>
      </c>
      <c r="H85" s="17" t="s">
        <v>346</v>
      </c>
      <c r="I85" s="17" t="s">
        <v>347</v>
      </c>
      <c r="J85" s="17" t="s">
        <v>348</v>
      </c>
      <c r="K85" s="17" t="n">
        <v>33</v>
      </c>
      <c r="L85" s="17" t="s">
        <v>81</v>
      </c>
      <c r="M85" s="17" t="s">
        <v>32</v>
      </c>
      <c r="N85" s="19" t="n">
        <v>20.05</v>
      </c>
      <c r="O85" s="19" t="n">
        <v>661.65</v>
      </c>
      <c r="P85" s="17" t="s">
        <v>33</v>
      </c>
      <c r="Q85" s="20" t="n">
        <f aca="false">DATE(D85,C85,B85)</f>
        <v>44566</v>
      </c>
      <c r="R85" s="17" t="str">
        <f aca="false">IF(HOUR(E85)&lt;6,"Madrugada (0-5 h)",IF(HOUR(E85)&lt;12,"Mañana (6-11 h)",IF(HOUR(E85)&lt;18,"Tarde (12-17 h)","Noche (18-23 h)")))</f>
        <v>Mañana (6-11 h)</v>
      </c>
    </row>
    <row r="86" customFormat="false" ht="15" hidden="false" customHeight="false" outlineLevel="0" collapsed="false">
      <c r="A86" s="17" t="n">
        <v>1085</v>
      </c>
      <c r="B86" s="17" t="n">
        <v>10</v>
      </c>
      <c r="C86" s="17" t="n">
        <v>3</v>
      </c>
      <c r="D86" s="17" t="n">
        <v>2022</v>
      </c>
      <c r="E86" s="18" t="n">
        <v>0.405798611111111</v>
      </c>
      <c r="F86" s="17" t="n">
        <v>2784</v>
      </c>
      <c r="G86" s="17" t="s">
        <v>349</v>
      </c>
      <c r="H86" s="17" t="s">
        <v>350</v>
      </c>
      <c r="I86" s="17" t="s">
        <v>351</v>
      </c>
      <c r="J86" s="17" t="s">
        <v>352</v>
      </c>
      <c r="K86" s="17" t="n">
        <v>37</v>
      </c>
      <c r="L86" s="17" t="s">
        <v>81</v>
      </c>
      <c r="M86" s="17" t="s">
        <v>32</v>
      </c>
      <c r="N86" s="19" t="n">
        <v>7.98</v>
      </c>
      <c r="O86" s="19" t="n">
        <v>295.26</v>
      </c>
      <c r="P86" s="17" t="s">
        <v>43</v>
      </c>
      <c r="Q86" s="20" t="n">
        <f aca="false">DATE(D86,C86,B86)</f>
        <v>44630</v>
      </c>
      <c r="R86" s="17" t="str">
        <f aca="false">IF(HOUR(E86)&lt;6,"Madrugada (0-5 h)",IF(HOUR(E86)&lt;12,"Mañana (6-11 h)",IF(HOUR(E86)&lt;18,"Tarde (12-17 h)","Noche (18-23 h)")))</f>
        <v>Mañana (6-11 h)</v>
      </c>
    </row>
    <row r="87" customFormat="false" ht="15" hidden="false" customHeight="false" outlineLevel="0" collapsed="false">
      <c r="A87" s="17" t="n">
        <v>1086</v>
      </c>
      <c r="B87" s="17" t="n">
        <v>26</v>
      </c>
      <c r="C87" s="17" t="n">
        <v>12</v>
      </c>
      <c r="D87" s="17" t="n">
        <v>2021</v>
      </c>
      <c r="E87" s="18" t="n">
        <v>0.184421296296296</v>
      </c>
      <c r="F87" s="17" t="n">
        <v>1820</v>
      </c>
      <c r="G87" s="17" t="s">
        <v>353</v>
      </c>
      <c r="H87" s="17" t="s">
        <v>354</v>
      </c>
      <c r="I87" s="17" t="s">
        <v>355</v>
      </c>
      <c r="J87" s="17" t="s">
        <v>356</v>
      </c>
      <c r="K87" s="17" t="n">
        <v>23</v>
      </c>
      <c r="L87" s="17" t="s">
        <v>125</v>
      </c>
      <c r="M87" s="17" t="s">
        <v>82</v>
      </c>
      <c r="N87" s="19" t="n">
        <v>24.43</v>
      </c>
      <c r="O87" s="19" t="n">
        <v>561.89</v>
      </c>
      <c r="P87" s="17" t="s">
        <v>33</v>
      </c>
      <c r="Q87" s="20" t="n">
        <f aca="false">DATE(D87,C87,B87)</f>
        <v>44556</v>
      </c>
      <c r="R87" s="17" t="str">
        <f aca="false">IF(HOUR(E87)&lt;6,"Madrugada (0-5 h)",IF(HOUR(E87)&lt;12,"Mañana (6-11 h)",IF(HOUR(E87)&lt;18,"Tarde (12-17 h)","Noche (18-23 h)")))</f>
        <v>Madrugada (0-5 h)</v>
      </c>
    </row>
    <row r="88" customFormat="false" ht="15" hidden="false" customHeight="false" outlineLevel="0" collapsed="false">
      <c r="A88" s="17" t="n">
        <v>1087</v>
      </c>
      <c r="B88" s="17" t="n">
        <v>9</v>
      </c>
      <c r="C88" s="17" t="n">
        <v>10</v>
      </c>
      <c r="D88" s="17" t="n">
        <v>2021</v>
      </c>
      <c r="E88" s="18" t="n">
        <v>0.888993055555556</v>
      </c>
      <c r="F88" s="17" t="n">
        <v>2335</v>
      </c>
      <c r="G88" s="17" t="s">
        <v>357</v>
      </c>
      <c r="H88" s="17" t="s">
        <v>358</v>
      </c>
      <c r="I88" s="17" t="s">
        <v>359</v>
      </c>
      <c r="J88" s="17" t="s">
        <v>360</v>
      </c>
      <c r="K88" s="17" t="n">
        <v>34</v>
      </c>
      <c r="L88" s="17" t="s">
        <v>81</v>
      </c>
      <c r="M88" s="17" t="s">
        <v>76</v>
      </c>
      <c r="N88" s="19" t="n">
        <v>6.3</v>
      </c>
      <c r="O88" s="19" t="n">
        <v>214.2</v>
      </c>
      <c r="P88" s="17" t="s">
        <v>33</v>
      </c>
      <c r="Q88" s="20" t="n">
        <f aca="false">DATE(D88,C88,B88)</f>
        <v>44478</v>
      </c>
      <c r="R88" s="17" t="str">
        <f aca="false">IF(HOUR(E88)&lt;6,"Madrugada (0-5 h)",IF(HOUR(E88)&lt;12,"Mañana (6-11 h)",IF(HOUR(E88)&lt;18,"Tarde (12-17 h)","Noche (18-23 h)")))</f>
        <v>Noche (18-23 h)</v>
      </c>
    </row>
    <row r="89" customFormat="false" ht="15" hidden="false" customHeight="false" outlineLevel="0" collapsed="false">
      <c r="A89" s="17" t="n">
        <v>1088</v>
      </c>
      <c r="B89" s="17" t="n">
        <v>8</v>
      </c>
      <c r="C89" s="17" t="n">
        <v>10</v>
      </c>
      <c r="D89" s="17" t="n">
        <v>2022</v>
      </c>
      <c r="E89" s="18" t="n">
        <v>0.194456018518519</v>
      </c>
      <c r="F89" s="17" t="n">
        <v>2070</v>
      </c>
      <c r="G89" s="17" t="s">
        <v>361</v>
      </c>
      <c r="H89" s="17" t="s">
        <v>362</v>
      </c>
      <c r="I89" s="17" t="s">
        <v>363</v>
      </c>
      <c r="J89" s="17" t="s">
        <v>364</v>
      </c>
      <c r="K89" s="17" t="n">
        <v>3</v>
      </c>
      <c r="L89" s="17" t="s">
        <v>81</v>
      </c>
      <c r="M89" s="17" t="s">
        <v>76</v>
      </c>
      <c r="N89" s="19" t="n">
        <v>1.89</v>
      </c>
      <c r="O89" s="19" t="n">
        <v>5.67</v>
      </c>
      <c r="P89" s="17" t="s">
        <v>33</v>
      </c>
      <c r="Q89" s="20" t="n">
        <f aca="false">DATE(D89,C89,B89)</f>
        <v>44842</v>
      </c>
      <c r="R89" s="17" t="str">
        <f aca="false">IF(HOUR(E89)&lt;6,"Madrugada (0-5 h)",IF(HOUR(E89)&lt;12,"Mañana (6-11 h)",IF(HOUR(E89)&lt;18,"Tarde (12-17 h)","Noche (18-23 h)")))</f>
        <v>Madrugada (0-5 h)</v>
      </c>
    </row>
    <row r="90" customFormat="false" ht="15" hidden="false" customHeight="false" outlineLevel="0" collapsed="false">
      <c r="A90" s="17" t="n">
        <v>1089</v>
      </c>
      <c r="B90" s="17" t="n">
        <v>7</v>
      </c>
      <c r="C90" s="17" t="n">
        <v>12</v>
      </c>
      <c r="D90" s="17" t="n">
        <v>2022</v>
      </c>
      <c r="E90" s="18" t="n">
        <v>0.531041666666667</v>
      </c>
      <c r="F90" s="17" t="n">
        <v>2983</v>
      </c>
      <c r="G90" s="17" t="s">
        <v>365</v>
      </c>
      <c r="H90" s="17" t="s">
        <v>366</v>
      </c>
      <c r="I90" s="17" t="s">
        <v>367</v>
      </c>
      <c r="J90" s="17" t="s">
        <v>368</v>
      </c>
      <c r="K90" s="17" t="n">
        <v>14</v>
      </c>
      <c r="L90" s="17" t="s">
        <v>81</v>
      </c>
      <c r="M90" s="17" t="s">
        <v>32</v>
      </c>
      <c r="N90" s="19" t="n">
        <v>2.3</v>
      </c>
      <c r="O90" s="19" t="n">
        <v>32.2</v>
      </c>
      <c r="P90" s="17" t="s">
        <v>33</v>
      </c>
      <c r="Q90" s="20" t="n">
        <f aca="false">DATE(D90,C90,B90)</f>
        <v>44902</v>
      </c>
      <c r="R90" s="17" t="str">
        <f aca="false">IF(HOUR(E90)&lt;6,"Madrugada (0-5 h)",IF(HOUR(E90)&lt;12,"Mañana (6-11 h)",IF(HOUR(E90)&lt;18,"Tarde (12-17 h)","Noche (18-23 h)")))</f>
        <v>Tarde (12-17 h)</v>
      </c>
    </row>
    <row r="91" customFormat="false" ht="15" hidden="false" customHeight="false" outlineLevel="0" collapsed="false">
      <c r="A91" s="17" t="n">
        <v>1090</v>
      </c>
      <c r="B91" s="17" t="n">
        <v>28</v>
      </c>
      <c r="C91" s="17" t="n">
        <v>7</v>
      </c>
      <c r="D91" s="17" t="n">
        <v>2022</v>
      </c>
      <c r="E91" s="18" t="n">
        <v>0.290740740740741</v>
      </c>
      <c r="F91" s="17" t="n">
        <v>1725</v>
      </c>
      <c r="G91" s="17" t="s">
        <v>369</v>
      </c>
      <c r="H91" s="17" t="s">
        <v>370</v>
      </c>
      <c r="I91" s="17" t="s">
        <v>371</v>
      </c>
      <c r="J91" s="17" t="s">
        <v>372</v>
      </c>
      <c r="K91" s="17" t="n">
        <v>46</v>
      </c>
      <c r="L91" s="17" t="s">
        <v>81</v>
      </c>
      <c r="M91" s="17" t="s">
        <v>32</v>
      </c>
      <c r="N91" s="19" t="n">
        <v>6.76</v>
      </c>
      <c r="O91" s="19" t="n">
        <v>310.96</v>
      </c>
      <c r="P91" s="17" t="s">
        <v>33</v>
      </c>
      <c r="Q91" s="20" t="n">
        <f aca="false">DATE(D91,C91,B91)</f>
        <v>44770</v>
      </c>
      <c r="R91" s="17" t="str">
        <f aca="false">IF(HOUR(E91)&lt;6,"Madrugada (0-5 h)",IF(HOUR(E91)&lt;12,"Mañana (6-11 h)",IF(HOUR(E91)&lt;18,"Tarde (12-17 h)","Noche (18-23 h)")))</f>
        <v>Mañana (6-11 h)</v>
      </c>
    </row>
    <row r="92" customFormat="false" ht="15" hidden="false" customHeight="false" outlineLevel="0" collapsed="false">
      <c r="A92" s="17" t="n">
        <v>1091</v>
      </c>
      <c r="B92" s="17" t="n">
        <v>4</v>
      </c>
      <c r="C92" s="17" t="n">
        <v>4</v>
      </c>
      <c r="D92" s="17" t="n">
        <v>2022</v>
      </c>
      <c r="E92" s="18" t="n">
        <v>0.380081018518519</v>
      </c>
      <c r="F92" s="17" t="n">
        <v>2731</v>
      </c>
      <c r="G92" s="17" t="s">
        <v>373</v>
      </c>
      <c r="H92" s="17" t="s">
        <v>374</v>
      </c>
      <c r="I92" s="17" t="s">
        <v>375</v>
      </c>
      <c r="J92" s="17" t="s">
        <v>376</v>
      </c>
      <c r="K92" s="17" t="n">
        <v>50</v>
      </c>
      <c r="L92" s="17" t="s">
        <v>81</v>
      </c>
      <c r="M92" s="17" t="s">
        <v>32</v>
      </c>
      <c r="N92" s="19" t="n">
        <v>7.3</v>
      </c>
      <c r="O92" s="19" t="n">
        <v>365</v>
      </c>
      <c r="P92" s="17" t="s">
        <v>43</v>
      </c>
      <c r="Q92" s="20" t="n">
        <f aca="false">DATE(D92,C92,B92)</f>
        <v>44655</v>
      </c>
      <c r="R92" s="17" t="str">
        <f aca="false">IF(HOUR(E92)&lt;6,"Madrugada (0-5 h)",IF(HOUR(E92)&lt;12,"Mañana (6-11 h)",IF(HOUR(E92)&lt;18,"Tarde (12-17 h)","Noche (18-23 h)")))</f>
        <v>Mañana (6-11 h)</v>
      </c>
    </row>
    <row r="93" customFormat="false" ht="15" hidden="false" customHeight="false" outlineLevel="0" collapsed="false">
      <c r="A93" s="17" t="n">
        <v>1092</v>
      </c>
      <c r="B93" s="17" t="n">
        <v>3</v>
      </c>
      <c r="C93" s="17" t="n">
        <v>12</v>
      </c>
      <c r="D93" s="17" t="n">
        <v>2021</v>
      </c>
      <c r="E93" s="18" t="n">
        <v>0.458391203703704</v>
      </c>
      <c r="F93" s="17" t="n">
        <v>4429</v>
      </c>
      <c r="G93" s="17" t="s">
        <v>377</v>
      </c>
      <c r="H93" s="17" t="s">
        <v>137</v>
      </c>
      <c r="I93" s="17" t="s">
        <v>378</v>
      </c>
      <c r="J93" s="17" t="s">
        <v>379</v>
      </c>
      <c r="K93" s="17" t="n">
        <v>8</v>
      </c>
      <c r="L93" s="17" t="s">
        <v>81</v>
      </c>
      <c r="M93" s="17" t="s">
        <v>32</v>
      </c>
      <c r="N93" s="19" t="n">
        <v>6.3</v>
      </c>
      <c r="O93" s="19" t="n">
        <v>50.4</v>
      </c>
      <c r="P93" s="17" t="s">
        <v>33</v>
      </c>
      <c r="Q93" s="20" t="n">
        <f aca="false">DATE(D93,C93,B93)</f>
        <v>44533</v>
      </c>
      <c r="R93" s="17" t="str">
        <f aca="false">IF(HOUR(E93)&lt;6,"Madrugada (0-5 h)",IF(HOUR(E93)&lt;12,"Mañana (6-11 h)",IF(HOUR(E93)&lt;18,"Tarde (12-17 h)","Noche (18-23 h)")))</f>
        <v>Mañana (6-11 h)</v>
      </c>
    </row>
    <row r="94" customFormat="false" ht="15" hidden="false" customHeight="false" outlineLevel="0" collapsed="false">
      <c r="A94" s="17" t="n">
        <v>1093</v>
      </c>
      <c r="B94" s="17" t="n">
        <v>27</v>
      </c>
      <c r="C94" s="17" t="n">
        <v>5</v>
      </c>
      <c r="D94" s="17" t="n">
        <v>2022</v>
      </c>
      <c r="E94" s="18" t="n">
        <v>0.837002314814815</v>
      </c>
      <c r="F94" s="17" t="n">
        <v>2533</v>
      </c>
      <c r="G94" s="17" t="s">
        <v>380</v>
      </c>
      <c r="H94" s="17" t="s">
        <v>333</v>
      </c>
      <c r="I94" s="17" t="s">
        <v>381</v>
      </c>
      <c r="J94" s="17" t="s">
        <v>382</v>
      </c>
      <c r="K94" s="17" t="n">
        <v>28</v>
      </c>
      <c r="L94" s="17" t="s">
        <v>81</v>
      </c>
      <c r="M94" s="17" t="s">
        <v>76</v>
      </c>
      <c r="N94" s="19" t="n">
        <v>5.23</v>
      </c>
      <c r="O94" s="19" t="n">
        <v>146.44</v>
      </c>
      <c r="P94" s="17" t="s">
        <v>33</v>
      </c>
      <c r="Q94" s="20" t="n">
        <f aca="false">DATE(D94,C94,B94)</f>
        <v>44708</v>
      </c>
      <c r="R94" s="17" t="str">
        <f aca="false">IF(HOUR(E94)&lt;6,"Madrugada (0-5 h)",IF(HOUR(E94)&lt;12,"Mañana (6-11 h)",IF(HOUR(E94)&lt;18,"Tarde (12-17 h)","Noche (18-23 h)")))</f>
        <v>Noche (18-23 h)</v>
      </c>
    </row>
    <row r="95" customFormat="false" ht="15" hidden="false" customHeight="false" outlineLevel="0" collapsed="false">
      <c r="A95" s="17" t="n">
        <v>1094</v>
      </c>
      <c r="B95" s="17" t="n">
        <v>11</v>
      </c>
      <c r="C95" s="17" t="n">
        <v>10</v>
      </c>
      <c r="D95" s="17" t="n">
        <v>2022</v>
      </c>
      <c r="E95" s="18" t="n">
        <v>0.333599537037037</v>
      </c>
      <c r="F95" s="17" t="n">
        <v>4801</v>
      </c>
      <c r="G95" s="17" t="s">
        <v>383</v>
      </c>
      <c r="H95" s="17" t="s">
        <v>384</v>
      </c>
      <c r="I95" s="17" t="s">
        <v>385</v>
      </c>
      <c r="J95" s="17" t="s">
        <v>386</v>
      </c>
      <c r="K95" s="17" t="n">
        <v>5</v>
      </c>
      <c r="L95" s="17" t="s">
        <v>31</v>
      </c>
      <c r="M95" s="17" t="s">
        <v>32</v>
      </c>
      <c r="N95" s="19" t="n">
        <v>2.01</v>
      </c>
      <c r="O95" s="19" t="n">
        <v>10.05</v>
      </c>
      <c r="P95" s="17" t="s">
        <v>33</v>
      </c>
      <c r="Q95" s="20" t="n">
        <f aca="false">DATE(D95,C95,B95)</f>
        <v>44845</v>
      </c>
      <c r="R95" s="17" t="str">
        <f aca="false">IF(HOUR(E95)&lt;6,"Madrugada (0-5 h)",IF(HOUR(E95)&lt;12,"Mañana (6-11 h)",IF(HOUR(E95)&lt;18,"Tarde (12-17 h)","Noche (18-23 h)")))</f>
        <v>Mañana (6-11 h)</v>
      </c>
    </row>
    <row r="96" customFormat="false" ht="15" hidden="false" customHeight="false" outlineLevel="0" collapsed="false">
      <c r="A96" s="17" t="n">
        <v>1095</v>
      </c>
      <c r="B96" s="17" t="n">
        <v>9</v>
      </c>
      <c r="C96" s="17" t="n">
        <v>12</v>
      </c>
      <c r="D96" s="17" t="n">
        <v>2022</v>
      </c>
      <c r="E96" s="18" t="n">
        <v>0.317835648148148</v>
      </c>
      <c r="F96" s="17" t="n">
        <v>2693</v>
      </c>
      <c r="G96" s="17" t="s">
        <v>387</v>
      </c>
      <c r="H96" s="17" t="s">
        <v>388</v>
      </c>
      <c r="I96" s="17" t="s">
        <v>389</v>
      </c>
      <c r="J96" s="17" t="s">
        <v>390</v>
      </c>
      <c r="K96" s="17" t="n">
        <v>15</v>
      </c>
      <c r="L96" s="17" t="s">
        <v>61</v>
      </c>
      <c r="M96" s="17" t="s">
        <v>32</v>
      </c>
      <c r="N96" s="19" t="n">
        <v>14.37</v>
      </c>
      <c r="O96" s="19" t="n">
        <v>215.55</v>
      </c>
      <c r="P96" s="17" t="s">
        <v>33</v>
      </c>
      <c r="Q96" s="20" t="n">
        <f aca="false">DATE(D96,C96,B96)</f>
        <v>44904</v>
      </c>
      <c r="R96" s="17" t="str">
        <f aca="false">IF(HOUR(E96)&lt;6,"Madrugada (0-5 h)",IF(HOUR(E96)&lt;12,"Mañana (6-11 h)",IF(HOUR(E96)&lt;18,"Tarde (12-17 h)","Noche (18-23 h)")))</f>
        <v>Mañana (6-11 h)</v>
      </c>
    </row>
    <row r="97" customFormat="false" ht="15" hidden="false" customHeight="false" outlineLevel="0" collapsed="false">
      <c r="A97" s="17" t="n">
        <v>1096</v>
      </c>
      <c r="B97" s="17" t="n">
        <v>17</v>
      </c>
      <c r="C97" s="17" t="n">
        <v>6</v>
      </c>
      <c r="D97" s="17" t="n">
        <v>2021</v>
      </c>
      <c r="E97" s="18" t="n">
        <v>0.514988425925926</v>
      </c>
      <c r="F97" s="17" t="n">
        <v>2032</v>
      </c>
      <c r="G97" s="17" t="s">
        <v>391</v>
      </c>
      <c r="H97" s="17" t="s">
        <v>392</v>
      </c>
      <c r="I97" s="17" t="s">
        <v>393</v>
      </c>
      <c r="J97" s="17" t="s">
        <v>394</v>
      </c>
      <c r="K97" s="17" t="n">
        <v>35</v>
      </c>
      <c r="L97" s="17" t="s">
        <v>61</v>
      </c>
      <c r="M97" s="17" t="s">
        <v>32</v>
      </c>
      <c r="N97" s="19" t="n">
        <v>2.03</v>
      </c>
      <c r="O97" s="19" t="n">
        <v>71.05</v>
      </c>
      <c r="P97" s="17" t="s">
        <v>33</v>
      </c>
      <c r="Q97" s="20" t="n">
        <f aca="false">DATE(D97,C97,B97)</f>
        <v>44364</v>
      </c>
      <c r="R97" s="17" t="str">
        <f aca="false">IF(HOUR(E97)&lt;6,"Madrugada (0-5 h)",IF(HOUR(E97)&lt;12,"Mañana (6-11 h)",IF(HOUR(E97)&lt;18,"Tarde (12-17 h)","Noche (18-23 h)")))</f>
        <v>Tarde (12-17 h)</v>
      </c>
    </row>
    <row r="98" customFormat="false" ht="15" hidden="false" customHeight="false" outlineLevel="0" collapsed="false">
      <c r="A98" s="17" t="n">
        <v>1097</v>
      </c>
      <c r="B98" s="17" t="n">
        <v>6</v>
      </c>
      <c r="C98" s="17" t="n">
        <v>11</v>
      </c>
      <c r="D98" s="17" t="n">
        <v>2021</v>
      </c>
      <c r="E98" s="18" t="n">
        <v>0.172569444444444</v>
      </c>
      <c r="F98" s="17" t="n">
        <v>1226</v>
      </c>
      <c r="G98" s="17" t="s">
        <v>395</v>
      </c>
      <c r="H98" s="17" t="s">
        <v>396</v>
      </c>
      <c r="I98" s="17" t="s">
        <v>397</v>
      </c>
      <c r="J98" s="17" t="s">
        <v>398</v>
      </c>
      <c r="K98" s="17" t="n">
        <v>50</v>
      </c>
      <c r="L98" s="17" t="s">
        <v>61</v>
      </c>
      <c r="M98" s="17" t="s">
        <v>32</v>
      </c>
      <c r="N98" s="19" t="n">
        <v>16.45</v>
      </c>
      <c r="O98" s="19" t="n">
        <v>822.5</v>
      </c>
      <c r="P98" s="17" t="s">
        <v>33</v>
      </c>
      <c r="Q98" s="20" t="n">
        <f aca="false">DATE(D98,C98,B98)</f>
        <v>44506</v>
      </c>
      <c r="R98" s="17" t="str">
        <f aca="false">IF(HOUR(E98)&lt;6,"Madrugada (0-5 h)",IF(HOUR(E98)&lt;12,"Mañana (6-11 h)",IF(HOUR(E98)&lt;18,"Tarde (12-17 h)","Noche (18-23 h)")))</f>
        <v>Madrugada (0-5 h)</v>
      </c>
    </row>
    <row r="99" customFormat="false" ht="15" hidden="false" customHeight="false" outlineLevel="0" collapsed="false">
      <c r="A99" s="17" t="n">
        <v>1098</v>
      </c>
      <c r="B99" s="17" t="n">
        <v>3</v>
      </c>
      <c r="C99" s="17" t="n">
        <v>5</v>
      </c>
      <c r="D99" s="17" t="n">
        <v>2021</v>
      </c>
      <c r="E99" s="18" t="n">
        <v>0.535439814814815</v>
      </c>
      <c r="F99" s="17" t="n">
        <v>4738</v>
      </c>
      <c r="G99" s="17" t="s">
        <v>399</v>
      </c>
      <c r="H99" s="17" t="s">
        <v>400</v>
      </c>
      <c r="I99" s="17" t="s">
        <v>401</v>
      </c>
      <c r="J99" s="17" t="s">
        <v>402</v>
      </c>
      <c r="K99" s="17" t="n">
        <v>5</v>
      </c>
      <c r="L99" s="17" t="s">
        <v>98</v>
      </c>
      <c r="M99" s="17" t="s">
        <v>32</v>
      </c>
      <c r="N99" s="19" t="n">
        <v>15.52</v>
      </c>
      <c r="O99" s="19" t="n">
        <v>77.6</v>
      </c>
      <c r="P99" s="17" t="s">
        <v>43</v>
      </c>
      <c r="Q99" s="20" t="n">
        <f aca="false">DATE(D99,C99,B99)</f>
        <v>44319</v>
      </c>
      <c r="R99" s="17" t="str">
        <f aca="false">IF(HOUR(E99)&lt;6,"Madrugada (0-5 h)",IF(HOUR(E99)&lt;12,"Mañana (6-11 h)",IF(HOUR(E99)&lt;18,"Tarde (12-17 h)","Noche (18-23 h)")))</f>
        <v>Tarde (12-17 h)</v>
      </c>
    </row>
    <row r="100" customFormat="false" ht="15" hidden="false" customHeight="false" outlineLevel="0" collapsed="false">
      <c r="A100" s="17" t="n">
        <v>1099</v>
      </c>
      <c r="B100" s="17" t="n">
        <v>19</v>
      </c>
      <c r="C100" s="17" t="n">
        <v>7</v>
      </c>
      <c r="D100" s="17" t="n">
        <v>2021</v>
      </c>
      <c r="E100" s="18" t="n">
        <v>0.0465972222222222</v>
      </c>
      <c r="F100" s="17" t="n">
        <v>1338</v>
      </c>
      <c r="G100" s="17" t="s">
        <v>403</v>
      </c>
      <c r="H100" s="17" t="s">
        <v>404</v>
      </c>
      <c r="I100" s="17" t="s">
        <v>405</v>
      </c>
      <c r="J100" s="17" t="s">
        <v>406</v>
      </c>
      <c r="K100" s="17" t="n">
        <v>30</v>
      </c>
      <c r="L100" s="17" t="s">
        <v>31</v>
      </c>
      <c r="M100" s="17" t="s">
        <v>333</v>
      </c>
      <c r="N100" s="19" t="n">
        <v>5.98</v>
      </c>
      <c r="O100" s="19" t="n">
        <v>179.4</v>
      </c>
      <c r="P100" s="17" t="s">
        <v>43</v>
      </c>
      <c r="Q100" s="20" t="n">
        <f aca="false">DATE(D100,C100,B100)</f>
        <v>44396</v>
      </c>
      <c r="R100" s="17" t="str">
        <f aca="false">IF(HOUR(E100)&lt;6,"Madrugada (0-5 h)",IF(HOUR(E100)&lt;12,"Mañana (6-11 h)",IF(HOUR(E100)&lt;18,"Tarde (12-17 h)","Noche (18-23 h)")))</f>
        <v>Madrugada (0-5 h)</v>
      </c>
    </row>
    <row r="101" customFormat="false" ht="15" hidden="false" customHeight="false" outlineLevel="0" collapsed="false">
      <c r="A101" s="17" t="n">
        <v>1100</v>
      </c>
      <c r="B101" s="17" t="n">
        <v>1</v>
      </c>
      <c r="C101" s="17" t="n">
        <v>5</v>
      </c>
      <c r="D101" s="17" t="n">
        <v>2022</v>
      </c>
      <c r="E101" s="18" t="n">
        <v>0.177384259259259</v>
      </c>
      <c r="F101" s="17" t="n">
        <v>4551</v>
      </c>
      <c r="G101" s="17" t="s">
        <v>407</v>
      </c>
      <c r="H101" s="17" t="s">
        <v>408</v>
      </c>
      <c r="I101" s="17" t="s">
        <v>409</v>
      </c>
      <c r="J101" s="17" t="s">
        <v>410</v>
      </c>
      <c r="K101" s="17" t="n">
        <v>31</v>
      </c>
      <c r="L101" s="17" t="s">
        <v>81</v>
      </c>
      <c r="M101" s="17" t="s">
        <v>333</v>
      </c>
      <c r="N101" s="19" t="n">
        <v>0.5</v>
      </c>
      <c r="O101" s="19" t="n">
        <v>15.5</v>
      </c>
      <c r="P101" s="17" t="s">
        <v>33</v>
      </c>
      <c r="Q101" s="20" t="n">
        <f aca="false">DATE(D101,C101,B101)</f>
        <v>44682</v>
      </c>
      <c r="R101" s="17" t="str">
        <f aca="false">IF(HOUR(E101)&lt;6,"Madrugada (0-5 h)",IF(HOUR(E101)&lt;12,"Mañana (6-11 h)",IF(HOUR(E101)&lt;18,"Tarde (12-17 h)","Noche (18-23 h)")))</f>
        <v>Madrugada (0-5 h)</v>
      </c>
    </row>
    <row r="102" customFormat="false" ht="15" hidden="false" customHeight="false" outlineLevel="0" collapsed="false">
      <c r="A102" s="17" t="n">
        <v>1101</v>
      </c>
      <c r="B102" s="17" t="n">
        <v>15</v>
      </c>
      <c r="C102" s="17" t="n">
        <v>3</v>
      </c>
      <c r="D102" s="17" t="n">
        <v>2020</v>
      </c>
      <c r="E102" s="18" t="n">
        <v>0.306238425925926</v>
      </c>
      <c r="F102" s="17" t="n">
        <v>2695</v>
      </c>
      <c r="G102" s="17" t="s">
        <v>27</v>
      </c>
      <c r="H102" s="17" t="s">
        <v>28</v>
      </c>
      <c r="I102" s="17" t="s">
        <v>29</v>
      </c>
      <c r="J102" s="17" t="s">
        <v>30</v>
      </c>
      <c r="K102" s="17" t="n">
        <v>31</v>
      </c>
      <c r="L102" s="17" t="s">
        <v>31</v>
      </c>
      <c r="M102" s="17" t="s">
        <v>32</v>
      </c>
      <c r="N102" s="19" t="n">
        <v>3.56</v>
      </c>
      <c r="O102" s="19" t="n">
        <v>110.36</v>
      </c>
      <c r="P102" s="17" t="s">
        <v>33</v>
      </c>
      <c r="Q102" s="20" t="n">
        <f aca="false">DATE(D102,C102,B102)</f>
        <v>43905</v>
      </c>
      <c r="R102" s="17" t="str">
        <f aca="false">IF(HOUR(E102)&lt;6,"Madrugada (0-5 h)",IF(HOUR(E102)&lt;12,"Mañana (6-11 h)",IF(HOUR(E102)&lt;18,"Tarde (12-17 h)","Noche (18-23 h)")))</f>
        <v>Mañana (6-11 h)</v>
      </c>
    </row>
    <row r="103" customFormat="false" ht="15" hidden="false" customHeight="false" outlineLevel="0" collapsed="false">
      <c r="A103" s="17" t="n">
        <v>1102</v>
      </c>
      <c r="B103" s="17" t="n">
        <v>10</v>
      </c>
      <c r="C103" s="17" t="n">
        <v>1</v>
      </c>
      <c r="D103" s="17" t="n">
        <v>2022</v>
      </c>
      <c r="E103" s="18" t="n">
        <v>0.851770833333333</v>
      </c>
      <c r="F103" s="17" t="n">
        <v>3860</v>
      </c>
      <c r="G103" s="17" t="s">
        <v>34</v>
      </c>
      <c r="H103" s="17" t="s">
        <v>35</v>
      </c>
      <c r="I103" s="17" t="s">
        <v>36</v>
      </c>
      <c r="J103" s="17" t="s">
        <v>37</v>
      </c>
      <c r="K103" s="17" t="n">
        <v>19</v>
      </c>
      <c r="L103" s="17" t="s">
        <v>31</v>
      </c>
      <c r="M103" s="17" t="s">
        <v>32</v>
      </c>
      <c r="N103" s="19" t="n">
        <v>3.21</v>
      </c>
      <c r="O103" s="19" t="n">
        <v>60.99</v>
      </c>
      <c r="P103" s="17" t="s">
        <v>33</v>
      </c>
      <c r="Q103" s="20" t="n">
        <f aca="false">DATE(D103,C103,B103)</f>
        <v>44571</v>
      </c>
      <c r="R103" s="17" t="str">
        <f aca="false">IF(HOUR(E103)&lt;6,"Madrugada (0-5 h)",IF(HOUR(E103)&lt;12,"Mañana (6-11 h)",IF(HOUR(E103)&lt;18,"Tarde (12-17 h)","Noche (18-23 h)")))</f>
        <v>Noche (18-23 h)</v>
      </c>
    </row>
    <row r="104" customFormat="false" ht="15" hidden="false" customHeight="false" outlineLevel="0" collapsed="false">
      <c r="A104" s="17" t="n">
        <v>1103</v>
      </c>
      <c r="B104" s="17" t="n">
        <v>10</v>
      </c>
      <c r="C104" s="17" t="n">
        <v>8</v>
      </c>
      <c r="D104" s="17" t="n">
        <v>2021</v>
      </c>
      <c r="E104" s="18" t="n">
        <v>0.8709375</v>
      </c>
      <c r="F104" s="17" t="n">
        <v>4476</v>
      </c>
      <c r="G104" s="17" t="s">
        <v>38</v>
      </c>
      <c r="H104" s="17" t="s">
        <v>411</v>
      </c>
      <c r="I104" s="17" t="s">
        <v>40</v>
      </c>
      <c r="J104" s="17" t="s">
        <v>41</v>
      </c>
      <c r="K104" s="17" t="n">
        <v>16</v>
      </c>
      <c r="L104" s="17" t="s">
        <v>42</v>
      </c>
      <c r="M104" s="17" t="s">
        <v>32</v>
      </c>
      <c r="N104" s="19" t="n">
        <v>12.36</v>
      </c>
      <c r="O104" s="19" t="n">
        <v>197.76</v>
      </c>
      <c r="P104" s="17" t="s">
        <v>43</v>
      </c>
      <c r="Q104" s="20" t="n">
        <f aca="false">DATE(D104,C104,B104)</f>
        <v>44418</v>
      </c>
      <c r="R104" s="17" t="str">
        <f aca="false">IF(HOUR(E104)&lt;6,"Madrugada (0-5 h)",IF(HOUR(E104)&lt;12,"Mañana (6-11 h)",IF(HOUR(E104)&lt;18,"Tarde (12-17 h)","Noche (18-23 h)")))</f>
        <v>Noche (18-23 h)</v>
      </c>
    </row>
    <row r="105" customFormat="false" ht="15" hidden="false" customHeight="false" outlineLevel="0" collapsed="false">
      <c r="A105" s="17" t="n">
        <v>1104</v>
      </c>
      <c r="B105" s="17" t="n">
        <v>20</v>
      </c>
      <c r="C105" s="17" t="n">
        <v>9</v>
      </c>
      <c r="D105" s="17" t="n">
        <v>2021</v>
      </c>
      <c r="E105" s="18" t="n">
        <v>0.774108796296296</v>
      </c>
      <c r="F105" s="17" t="n">
        <v>2678</v>
      </c>
      <c r="G105" s="17" t="s">
        <v>44</v>
      </c>
      <c r="H105" s="17" t="s">
        <v>45</v>
      </c>
      <c r="I105" s="17" t="s">
        <v>46</v>
      </c>
      <c r="J105" s="17" t="s">
        <v>47</v>
      </c>
      <c r="K105" s="17" t="n">
        <v>4</v>
      </c>
      <c r="L105" s="17" t="s">
        <v>31</v>
      </c>
      <c r="M105" s="17" t="s">
        <v>48</v>
      </c>
      <c r="N105" s="19" t="n">
        <v>10.03</v>
      </c>
      <c r="O105" s="19" t="n">
        <v>40.12</v>
      </c>
      <c r="P105" s="17" t="s">
        <v>33</v>
      </c>
      <c r="Q105" s="20" t="n">
        <f aca="false">DATE(D105,C105,B105)</f>
        <v>44459</v>
      </c>
      <c r="R105" s="17" t="str">
        <f aca="false">IF(HOUR(E105)&lt;6,"Madrugada (0-5 h)",IF(HOUR(E105)&lt;12,"Mañana (6-11 h)",IF(HOUR(E105)&lt;18,"Tarde (12-17 h)","Noche (18-23 h)")))</f>
        <v>Noche (18-23 h)</v>
      </c>
    </row>
    <row r="106" customFormat="false" ht="15" hidden="false" customHeight="false" outlineLevel="0" collapsed="false">
      <c r="A106" s="17" t="n">
        <v>1105</v>
      </c>
      <c r="B106" s="17" t="n">
        <v>14</v>
      </c>
      <c r="C106" s="17" t="n">
        <v>7</v>
      </c>
      <c r="D106" s="17" t="n">
        <v>2022</v>
      </c>
      <c r="E106" s="18" t="n">
        <v>0.986921296296296</v>
      </c>
      <c r="F106" s="17" t="n">
        <v>2089</v>
      </c>
      <c r="G106" s="17" t="s">
        <v>49</v>
      </c>
      <c r="H106" s="17" t="s">
        <v>50</v>
      </c>
      <c r="I106" s="17" t="s">
        <v>51</v>
      </c>
      <c r="J106" s="17" t="s">
        <v>52</v>
      </c>
      <c r="K106" s="17" t="n">
        <v>13</v>
      </c>
      <c r="L106" s="17" t="s">
        <v>31</v>
      </c>
      <c r="M106" s="17" t="s">
        <v>48</v>
      </c>
      <c r="N106" s="19" t="n">
        <v>16.05</v>
      </c>
      <c r="O106" s="19" t="n">
        <v>208.65</v>
      </c>
      <c r="P106" s="17" t="s">
        <v>33</v>
      </c>
      <c r="Q106" s="20" t="n">
        <f aca="false">DATE(D106,C106,B106)</f>
        <v>44756</v>
      </c>
      <c r="R106" s="17" t="str">
        <f aca="false">IF(HOUR(E106)&lt;6,"Madrugada (0-5 h)",IF(HOUR(E106)&lt;12,"Mañana (6-11 h)",IF(HOUR(E106)&lt;18,"Tarde (12-17 h)","Noche (18-23 h)")))</f>
        <v>Noche (18-23 h)</v>
      </c>
    </row>
    <row r="107" customFormat="false" ht="15" hidden="false" customHeight="false" outlineLevel="0" collapsed="false">
      <c r="A107" s="17" t="n">
        <v>1106</v>
      </c>
      <c r="B107" s="17" t="n">
        <v>26</v>
      </c>
      <c r="C107" s="17" t="n">
        <v>3</v>
      </c>
      <c r="D107" s="17" t="n">
        <v>2022</v>
      </c>
      <c r="E107" s="18" t="n">
        <v>0.308993055555556</v>
      </c>
      <c r="F107" s="17" t="n">
        <v>4408</v>
      </c>
      <c r="G107" s="17" t="s">
        <v>53</v>
      </c>
      <c r="H107" s="17" t="s">
        <v>54</v>
      </c>
      <c r="I107" s="17" t="s">
        <v>55</v>
      </c>
      <c r="J107" s="17" t="s">
        <v>56</v>
      </c>
      <c r="K107" s="17" t="n">
        <v>11</v>
      </c>
      <c r="L107" s="17" t="s">
        <v>31</v>
      </c>
      <c r="M107" s="17" t="s">
        <v>48</v>
      </c>
      <c r="N107" s="19" t="n">
        <v>16.5</v>
      </c>
      <c r="O107" s="19" t="n">
        <v>181.5</v>
      </c>
      <c r="P107" s="17" t="s">
        <v>33</v>
      </c>
      <c r="Q107" s="20" t="n">
        <f aca="false">DATE(D107,C107,B107)</f>
        <v>44646</v>
      </c>
      <c r="R107" s="17" t="str">
        <f aca="false">IF(HOUR(E107)&lt;6,"Madrugada (0-5 h)",IF(HOUR(E107)&lt;12,"Mañana (6-11 h)",IF(HOUR(E107)&lt;18,"Tarde (12-17 h)","Noche (18-23 h)")))</f>
        <v>Mañana (6-11 h)</v>
      </c>
    </row>
    <row r="108" customFormat="false" ht="15" hidden="false" customHeight="false" outlineLevel="0" collapsed="false">
      <c r="A108" s="17" t="n">
        <v>1107</v>
      </c>
      <c r="B108" s="17" t="n">
        <v>4</v>
      </c>
      <c r="C108" s="17" t="n">
        <v>3</v>
      </c>
      <c r="D108" s="17" t="n">
        <v>2022</v>
      </c>
      <c r="E108" s="18" t="n">
        <v>0.140092592592593</v>
      </c>
      <c r="F108" s="17" t="n">
        <v>1755</v>
      </c>
      <c r="G108" s="17" t="s">
        <v>57</v>
      </c>
      <c r="H108" s="17" t="s">
        <v>58</v>
      </c>
      <c r="I108" s="17" t="s">
        <v>59</v>
      </c>
      <c r="J108" s="17" t="s">
        <v>60</v>
      </c>
      <c r="K108" s="17" t="n">
        <v>25</v>
      </c>
      <c r="L108" s="17" t="s">
        <v>61</v>
      </c>
      <c r="M108" s="17" t="s">
        <v>62</v>
      </c>
      <c r="N108" s="19" t="n">
        <v>4.13</v>
      </c>
      <c r="O108" s="19" t="n">
        <v>103.25</v>
      </c>
      <c r="P108" s="17" t="s">
        <v>43</v>
      </c>
      <c r="Q108" s="20" t="n">
        <f aca="false">DATE(D108,C108,B108)</f>
        <v>44624</v>
      </c>
      <c r="R108" s="17" t="str">
        <f aca="false">IF(HOUR(E108)&lt;6,"Madrugada (0-5 h)",IF(HOUR(E108)&lt;12,"Mañana (6-11 h)",IF(HOUR(E108)&lt;18,"Tarde (12-17 h)","Noche (18-23 h)")))</f>
        <v>Madrugada (0-5 h)</v>
      </c>
    </row>
    <row r="109" customFormat="false" ht="15" hidden="false" customHeight="false" outlineLevel="0" collapsed="false">
      <c r="A109" s="17" t="n">
        <v>1108</v>
      </c>
      <c r="B109" s="17" t="n">
        <v>9</v>
      </c>
      <c r="C109" s="17" t="n">
        <v>10</v>
      </c>
      <c r="D109" s="17" t="n">
        <v>2021</v>
      </c>
      <c r="E109" s="18" t="n">
        <v>0.533668981481482</v>
      </c>
      <c r="F109" s="17" t="n">
        <v>3226</v>
      </c>
      <c r="G109" s="17" t="s">
        <v>63</v>
      </c>
      <c r="H109" s="17" t="s">
        <v>64</v>
      </c>
      <c r="I109" s="17" t="s">
        <v>65</v>
      </c>
      <c r="J109" s="17" t="s">
        <v>66</v>
      </c>
      <c r="K109" s="17" t="n">
        <v>49</v>
      </c>
      <c r="L109" s="17" t="s">
        <v>61</v>
      </c>
      <c r="M109" s="17" t="s">
        <v>32</v>
      </c>
      <c r="N109" s="19" t="n">
        <v>11.5</v>
      </c>
      <c r="O109" s="19" t="n">
        <v>563.5</v>
      </c>
      <c r="P109" s="17" t="s">
        <v>33</v>
      </c>
      <c r="Q109" s="20" t="n">
        <f aca="false">DATE(D109,C109,B109)</f>
        <v>44478</v>
      </c>
      <c r="R109" s="17" t="str">
        <f aca="false">IF(HOUR(E109)&lt;6,"Madrugada (0-5 h)",IF(HOUR(E109)&lt;12,"Mañana (6-11 h)",IF(HOUR(E109)&lt;18,"Tarde (12-17 h)","Noche (18-23 h)")))</f>
        <v>Tarde (12-17 h)</v>
      </c>
    </row>
    <row r="110" customFormat="false" ht="15" hidden="false" customHeight="false" outlineLevel="0" collapsed="false">
      <c r="A110" s="17" t="n">
        <v>1109</v>
      </c>
      <c r="B110" s="17" t="n">
        <v>25</v>
      </c>
      <c r="C110" s="17" t="n">
        <v>1</v>
      </c>
      <c r="D110" s="17" t="n">
        <v>2022</v>
      </c>
      <c r="E110" s="18" t="n">
        <v>0.184166666666667</v>
      </c>
      <c r="F110" s="17" t="n">
        <v>3445</v>
      </c>
      <c r="G110" s="17" t="s">
        <v>67</v>
      </c>
      <c r="H110" s="17" t="s">
        <v>68</v>
      </c>
      <c r="I110" s="17" t="s">
        <v>69</v>
      </c>
      <c r="J110" s="17" t="s">
        <v>70</v>
      </c>
      <c r="K110" s="17" t="n">
        <v>27</v>
      </c>
      <c r="L110" s="17" t="s">
        <v>31</v>
      </c>
      <c r="M110" s="17" t="s">
        <v>71</v>
      </c>
      <c r="N110" s="19" t="n">
        <v>5.5</v>
      </c>
      <c r="O110" s="19" t="n">
        <v>148.5</v>
      </c>
      <c r="P110" s="17" t="s">
        <v>33</v>
      </c>
      <c r="Q110" s="20" t="n">
        <f aca="false">DATE(D110,C110,B110)</f>
        <v>44586</v>
      </c>
      <c r="R110" s="17" t="str">
        <f aca="false">IF(HOUR(E110)&lt;6,"Madrugada (0-5 h)",IF(HOUR(E110)&lt;12,"Mañana (6-11 h)",IF(HOUR(E110)&lt;18,"Tarde (12-17 h)","Noche (18-23 h)")))</f>
        <v>Madrugada (0-5 h)</v>
      </c>
    </row>
    <row r="111" customFormat="false" ht="15" hidden="false" customHeight="false" outlineLevel="0" collapsed="false">
      <c r="A111" s="17" t="n">
        <v>1110</v>
      </c>
      <c r="B111" s="17" t="n">
        <v>2</v>
      </c>
      <c r="C111" s="17" t="n">
        <v>7</v>
      </c>
      <c r="D111" s="17" t="n">
        <v>2022</v>
      </c>
      <c r="E111" s="18" t="n">
        <v>0.74837962962963</v>
      </c>
      <c r="F111" s="17" t="n">
        <v>3721</v>
      </c>
      <c r="G111" s="17" t="s">
        <v>72</v>
      </c>
      <c r="H111" s="17" t="s">
        <v>73</v>
      </c>
      <c r="I111" s="17" t="s">
        <v>74</v>
      </c>
      <c r="J111" s="17" t="s">
        <v>75</v>
      </c>
      <c r="K111" s="17" t="n">
        <v>43</v>
      </c>
      <c r="L111" s="17" t="s">
        <v>61</v>
      </c>
      <c r="M111" s="17" t="s">
        <v>76</v>
      </c>
      <c r="N111" s="19" t="n">
        <v>13.71</v>
      </c>
      <c r="O111" s="19" t="n">
        <v>589.53</v>
      </c>
      <c r="P111" s="17" t="s">
        <v>33</v>
      </c>
      <c r="Q111" s="20" t="n">
        <f aca="false">DATE(D111,C111,B111)</f>
        <v>44744</v>
      </c>
      <c r="R111" s="17" t="str">
        <f aca="false">IF(HOUR(E111)&lt;6,"Madrugada (0-5 h)",IF(HOUR(E111)&lt;12,"Mañana (6-11 h)",IF(HOUR(E111)&lt;18,"Tarde (12-17 h)","Noche (18-23 h)")))</f>
        <v>Tarde (12-17 h)</v>
      </c>
    </row>
    <row r="112" customFormat="false" ht="15" hidden="false" customHeight="false" outlineLevel="0" collapsed="false">
      <c r="A112" s="17" t="n">
        <v>1111</v>
      </c>
      <c r="B112" s="17" t="n">
        <v>22</v>
      </c>
      <c r="C112" s="17" t="n">
        <v>3</v>
      </c>
      <c r="D112" s="17" t="n">
        <v>2021</v>
      </c>
      <c r="E112" s="18" t="n">
        <v>0.454305555555556</v>
      </c>
      <c r="F112" s="17" t="n">
        <v>1158</v>
      </c>
      <c r="G112" s="17" t="s">
        <v>77</v>
      </c>
      <c r="H112" s="17" t="s">
        <v>78</v>
      </c>
      <c r="I112" s="17" t="s">
        <v>79</v>
      </c>
      <c r="J112" s="17" t="s">
        <v>80</v>
      </c>
      <c r="K112" s="17" t="n">
        <v>39</v>
      </c>
      <c r="L112" s="17" t="s">
        <v>412</v>
      </c>
      <c r="M112" s="17" t="s">
        <v>82</v>
      </c>
      <c r="N112" s="19" t="n">
        <v>7.89</v>
      </c>
      <c r="O112" s="19" t="n">
        <v>307.71</v>
      </c>
      <c r="P112" s="17" t="s">
        <v>33</v>
      </c>
      <c r="Q112" s="20" t="n">
        <f aca="false">DATE(D112,C112,B112)</f>
        <v>44277</v>
      </c>
      <c r="R112" s="17" t="str">
        <f aca="false">IF(HOUR(E112)&lt;6,"Madrugada (0-5 h)",IF(HOUR(E112)&lt;12,"Mañana (6-11 h)",IF(HOUR(E112)&lt;18,"Tarde (12-17 h)","Noche (18-23 h)")))</f>
        <v>Mañana (6-11 h)</v>
      </c>
    </row>
    <row r="113" customFormat="false" ht="15" hidden="false" customHeight="false" outlineLevel="0" collapsed="false">
      <c r="A113" s="17" t="n">
        <v>1112</v>
      </c>
      <c r="B113" s="17" t="n">
        <v>20</v>
      </c>
      <c r="C113" s="17" t="n">
        <v>5</v>
      </c>
      <c r="D113" s="17" t="n">
        <v>2021</v>
      </c>
      <c r="E113" s="18" t="n">
        <v>0.478078703703704</v>
      </c>
      <c r="F113" s="17" t="n">
        <v>3734</v>
      </c>
      <c r="G113" s="17" t="s">
        <v>83</v>
      </c>
      <c r="H113" s="17" t="s">
        <v>84</v>
      </c>
      <c r="I113" s="17" t="s">
        <v>85</v>
      </c>
      <c r="J113" s="17" t="s">
        <v>86</v>
      </c>
      <c r="K113" s="17" t="n">
        <v>2</v>
      </c>
      <c r="L113" s="17" t="s">
        <v>42</v>
      </c>
      <c r="M113" s="17" t="s">
        <v>32</v>
      </c>
      <c r="N113" s="19" t="n">
        <v>6</v>
      </c>
      <c r="O113" s="19" t="n">
        <v>12</v>
      </c>
      <c r="P113" s="17" t="s">
        <v>43</v>
      </c>
      <c r="Q113" s="20" t="n">
        <f aca="false">DATE(D113,C113,B113)</f>
        <v>44336</v>
      </c>
      <c r="R113" s="17" t="str">
        <f aca="false">IF(HOUR(E113)&lt;6,"Madrugada (0-5 h)",IF(HOUR(E113)&lt;12,"Mañana (6-11 h)",IF(HOUR(E113)&lt;18,"Tarde (12-17 h)","Noche (18-23 h)")))</f>
        <v>Mañana (6-11 h)</v>
      </c>
    </row>
    <row r="114" customFormat="false" ht="15" hidden="false" customHeight="false" outlineLevel="0" collapsed="false">
      <c r="A114" s="17" t="n">
        <v>1113</v>
      </c>
      <c r="B114" s="17" t="n">
        <v>22</v>
      </c>
      <c r="C114" s="17" t="n">
        <v>9</v>
      </c>
      <c r="D114" s="17" t="n">
        <v>2022</v>
      </c>
      <c r="E114" s="18" t="n">
        <v>0.665300925925926</v>
      </c>
      <c r="F114" s="17" t="n">
        <v>4055</v>
      </c>
      <c r="G114" s="17" t="s">
        <v>87</v>
      </c>
      <c r="H114" s="17" t="s">
        <v>88</v>
      </c>
      <c r="I114" s="17" t="s">
        <v>89</v>
      </c>
      <c r="J114" s="17" t="s">
        <v>90</v>
      </c>
      <c r="K114" s="17" t="n">
        <v>48</v>
      </c>
      <c r="L114" s="17" t="s">
        <v>31</v>
      </c>
      <c r="M114" s="17" t="s">
        <v>48</v>
      </c>
      <c r="N114" s="19" t="n">
        <v>13.54</v>
      </c>
      <c r="O114" s="19" t="n">
        <v>649.92</v>
      </c>
      <c r="P114" s="17" t="s">
        <v>33</v>
      </c>
      <c r="Q114" s="20" t="n">
        <f aca="false">DATE(D114,C114,B114)</f>
        <v>44826</v>
      </c>
      <c r="R114" s="17" t="str">
        <f aca="false">IF(HOUR(E114)&lt;6,"Madrugada (0-5 h)",IF(HOUR(E114)&lt;12,"Mañana (6-11 h)",IF(HOUR(E114)&lt;18,"Tarde (12-17 h)","Noche (18-23 h)")))</f>
        <v>Tarde (12-17 h)</v>
      </c>
    </row>
    <row r="115" customFormat="false" ht="15" hidden="false" customHeight="false" outlineLevel="0" collapsed="false">
      <c r="A115" s="17" t="n">
        <v>1114</v>
      </c>
      <c r="B115" s="17" t="n">
        <v>19</v>
      </c>
      <c r="C115" s="17" t="n">
        <v>12</v>
      </c>
      <c r="D115" s="17" t="n">
        <v>2021</v>
      </c>
      <c r="E115" s="18" t="n">
        <v>0.952905092592593</v>
      </c>
      <c r="F115" s="17" t="n">
        <v>2982</v>
      </c>
      <c r="G115" s="17" t="s">
        <v>91</v>
      </c>
      <c r="H115" s="17" t="s">
        <v>92</v>
      </c>
      <c r="I115" s="17" t="s">
        <v>93</v>
      </c>
      <c r="J115" s="17" t="s">
        <v>94</v>
      </c>
      <c r="K115" s="17" t="n">
        <v>30</v>
      </c>
      <c r="L115" s="17" t="s">
        <v>61</v>
      </c>
      <c r="M115" s="17" t="s">
        <v>32</v>
      </c>
      <c r="N115" s="19" t="n">
        <v>4.12</v>
      </c>
      <c r="O115" s="19" t="n">
        <v>123.6</v>
      </c>
      <c r="P115" s="17" t="s">
        <v>33</v>
      </c>
      <c r="Q115" s="20" t="n">
        <f aca="false">DATE(D115,C115,B115)</f>
        <v>44549</v>
      </c>
      <c r="R115" s="17" t="str">
        <f aca="false">IF(HOUR(E115)&lt;6,"Madrugada (0-5 h)",IF(HOUR(E115)&lt;12,"Mañana (6-11 h)",IF(HOUR(E115)&lt;18,"Tarde (12-17 h)","Noche (18-23 h)")))</f>
        <v>Noche (18-23 h)</v>
      </c>
    </row>
    <row r="116" customFormat="false" ht="15" hidden="false" customHeight="false" outlineLevel="0" collapsed="false">
      <c r="A116" s="17" t="n">
        <v>1115</v>
      </c>
      <c r="B116" s="17" t="n">
        <v>14</v>
      </c>
      <c r="C116" s="17" t="n">
        <v>6</v>
      </c>
      <c r="D116" s="17" t="n">
        <v>2021</v>
      </c>
      <c r="E116" s="18" t="n">
        <v>0.783715277777778</v>
      </c>
      <c r="F116" s="17" t="n">
        <v>1079</v>
      </c>
      <c r="G116" s="17" t="s">
        <v>95</v>
      </c>
      <c r="H116" s="17" t="s">
        <v>96</v>
      </c>
      <c r="I116" s="17" t="s">
        <v>97</v>
      </c>
      <c r="J116" s="17" t="s">
        <v>97</v>
      </c>
      <c r="K116" s="17" t="n">
        <v>21</v>
      </c>
      <c r="L116" s="17" t="s">
        <v>98</v>
      </c>
      <c r="M116" s="17" t="s">
        <v>48</v>
      </c>
      <c r="N116" s="19" t="n">
        <v>4.33</v>
      </c>
      <c r="O116" s="19" t="n">
        <v>90.93</v>
      </c>
      <c r="P116" s="17" t="s">
        <v>33</v>
      </c>
      <c r="Q116" s="20" t="n">
        <f aca="false">DATE(D116,C116,B116)</f>
        <v>44361</v>
      </c>
      <c r="R116" s="17" t="str">
        <f aca="false">IF(HOUR(E116)&lt;6,"Madrugada (0-5 h)",IF(HOUR(E116)&lt;12,"Mañana (6-11 h)",IF(HOUR(E116)&lt;18,"Tarde (12-17 h)","Noche (18-23 h)")))</f>
        <v>Noche (18-23 h)</v>
      </c>
    </row>
    <row r="117" customFormat="false" ht="15" hidden="false" customHeight="false" outlineLevel="0" collapsed="false">
      <c r="A117" s="17" t="n">
        <v>1116</v>
      </c>
      <c r="B117" s="17" t="n">
        <v>15</v>
      </c>
      <c r="C117" s="17" t="n">
        <v>11</v>
      </c>
      <c r="D117" s="17" t="n">
        <v>2021</v>
      </c>
      <c r="E117" s="18" t="n">
        <v>0.811481481481482</v>
      </c>
      <c r="F117" s="17" t="n">
        <v>3462</v>
      </c>
      <c r="G117" s="17" t="s">
        <v>99</v>
      </c>
      <c r="H117" s="17" t="s">
        <v>100</v>
      </c>
      <c r="I117" s="17" t="s">
        <v>101</v>
      </c>
      <c r="J117" s="17" t="s">
        <v>102</v>
      </c>
      <c r="K117" s="17" t="n">
        <v>49</v>
      </c>
      <c r="L117" s="17" t="s">
        <v>103</v>
      </c>
      <c r="M117" s="17" t="s">
        <v>32</v>
      </c>
      <c r="N117" s="19" t="n">
        <v>6.97</v>
      </c>
      <c r="O117" s="19" t="n">
        <v>341.53</v>
      </c>
      <c r="P117" s="17" t="s">
        <v>43</v>
      </c>
      <c r="Q117" s="20" t="n">
        <f aca="false">DATE(D117,C117,B117)</f>
        <v>44515</v>
      </c>
      <c r="R117" s="17" t="str">
        <f aca="false">IF(HOUR(E117)&lt;6,"Madrugada (0-5 h)",IF(HOUR(E117)&lt;12,"Mañana (6-11 h)",IF(HOUR(E117)&lt;18,"Tarde (12-17 h)","Noche (18-23 h)")))</f>
        <v>Noche (18-23 h)</v>
      </c>
    </row>
    <row r="118" customFormat="false" ht="15" hidden="false" customHeight="false" outlineLevel="0" collapsed="false">
      <c r="A118" s="17" t="n">
        <v>1117</v>
      </c>
      <c r="B118" s="17" t="n">
        <v>27</v>
      </c>
      <c r="C118" s="17" t="n">
        <v>10</v>
      </c>
      <c r="D118" s="17" t="n">
        <v>2021</v>
      </c>
      <c r="E118" s="18" t="n">
        <v>0.352673611111111</v>
      </c>
      <c r="F118" s="17" t="n">
        <v>1990</v>
      </c>
      <c r="G118" s="17" t="s">
        <v>104</v>
      </c>
      <c r="H118" s="17" t="s">
        <v>105</v>
      </c>
      <c r="I118" s="17" t="s">
        <v>106</v>
      </c>
      <c r="J118" s="17" t="s">
        <v>107</v>
      </c>
      <c r="K118" s="17" t="n">
        <v>50</v>
      </c>
      <c r="L118" s="17" t="s">
        <v>31</v>
      </c>
      <c r="M118" s="17" t="s">
        <v>32</v>
      </c>
      <c r="N118" s="19" t="n">
        <v>4.45</v>
      </c>
      <c r="O118" s="19" t="n">
        <v>222.5</v>
      </c>
      <c r="P118" s="17" t="s">
        <v>33</v>
      </c>
      <c r="Q118" s="20" t="n">
        <f aca="false">DATE(D118,C118,B118)</f>
        <v>44496</v>
      </c>
      <c r="R118" s="17" t="str">
        <f aca="false">IF(HOUR(E118)&lt;6,"Madrugada (0-5 h)",IF(HOUR(E118)&lt;12,"Mañana (6-11 h)",IF(HOUR(E118)&lt;18,"Tarde (12-17 h)","Noche (18-23 h)")))</f>
        <v>Mañana (6-11 h)</v>
      </c>
    </row>
    <row r="119" customFormat="false" ht="15" hidden="false" customHeight="false" outlineLevel="0" collapsed="false">
      <c r="A119" s="17" t="n">
        <v>1118</v>
      </c>
      <c r="B119" s="17" t="n">
        <v>5</v>
      </c>
      <c r="C119" s="17" t="n">
        <v>5</v>
      </c>
      <c r="D119" s="17" t="n">
        <v>2022</v>
      </c>
      <c r="E119" s="18" t="n">
        <v>0.433414351851852</v>
      </c>
      <c r="F119" s="17" t="n">
        <v>1393</v>
      </c>
      <c r="G119" s="17" t="s">
        <v>108</v>
      </c>
      <c r="H119" s="17" t="s">
        <v>109</v>
      </c>
      <c r="I119" s="17" t="s">
        <v>110</v>
      </c>
      <c r="J119" s="17" t="s">
        <v>111</v>
      </c>
      <c r="K119" s="17" t="n">
        <v>24</v>
      </c>
      <c r="L119" s="17" t="s">
        <v>81</v>
      </c>
      <c r="M119" s="17" t="s">
        <v>82</v>
      </c>
      <c r="N119" s="19" t="n">
        <v>6.5</v>
      </c>
      <c r="O119" s="19" t="n">
        <v>156</v>
      </c>
      <c r="P119" s="17" t="s">
        <v>43</v>
      </c>
      <c r="Q119" s="20" t="n">
        <f aca="false">DATE(D119,C119,B119)</f>
        <v>44686</v>
      </c>
      <c r="R119" s="17" t="str">
        <f aca="false">IF(HOUR(E119)&lt;6,"Madrugada (0-5 h)",IF(HOUR(E119)&lt;12,"Mañana (6-11 h)",IF(HOUR(E119)&lt;18,"Tarde (12-17 h)","Noche (18-23 h)")))</f>
        <v>Mañana (6-11 h)</v>
      </c>
    </row>
    <row r="120" customFormat="false" ht="15" hidden="false" customHeight="false" outlineLevel="0" collapsed="false">
      <c r="A120" s="17" t="n">
        <v>1119</v>
      </c>
      <c r="B120" s="17" t="n">
        <v>25</v>
      </c>
      <c r="C120" s="17" t="n">
        <v>5</v>
      </c>
      <c r="D120" s="17" t="n">
        <v>2021</v>
      </c>
      <c r="E120" s="18" t="n">
        <v>0.609236111111111</v>
      </c>
      <c r="F120" s="17" t="n">
        <v>3802</v>
      </c>
      <c r="G120" s="17" t="s">
        <v>112</v>
      </c>
      <c r="H120" s="17" t="s">
        <v>113</v>
      </c>
      <c r="I120" s="17" t="s">
        <v>114</v>
      </c>
      <c r="J120" s="17" t="s">
        <v>115</v>
      </c>
      <c r="K120" s="17" t="n">
        <v>34</v>
      </c>
      <c r="L120" s="17" t="s">
        <v>81</v>
      </c>
      <c r="M120" s="17" t="s">
        <v>116</v>
      </c>
      <c r="N120" s="19" t="n">
        <v>4.86</v>
      </c>
      <c r="O120" s="19" t="n">
        <v>165.24</v>
      </c>
      <c r="P120" s="17" t="s">
        <v>33</v>
      </c>
      <c r="Q120" s="20" t="n">
        <f aca="false">DATE(D120,C120,B120)</f>
        <v>44341</v>
      </c>
      <c r="R120" s="17" t="str">
        <f aca="false">IF(HOUR(E120)&lt;6,"Madrugada (0-5 h)",IF(HOUR(E120)&lt;12,"Mañana (6-11 h)",IF(HOUR(E120)&lt;18,"Tarde (12-17 h)","Noche (18-23 h)")))</f>
        <v>Tarde (12-17 h)</v>
      </c>
    </row>
    <row r="121" customFormat="false" ht="15" hidden="false" customHeight="false" outlineLevel="0" collapsed="false">
      <c r="A121" s="17" t="n">
        <v>1120</v>
      </c>
      <c r="B121" s="17" t="n">
        <v>3</v>
      </c>
      <c r="C121" s="17" t="n">
        <v>9</v>
      </c>
      <c r="D121" s="17" t="n">
        <v>2022</v>
      </c>
      <c r="E121" s="18" t="n">
        <v>0.639016203703704</v>
      </c>
      <c r="F121" s="17" t="n">
        <v>2283</v>
      </c>
      <c r="G121" s="17" t="s">
        <v>117</v>
      </c>
      <c r="H121" s="17" t="s">
        <v>118</v>
      </c>
      <c r="I121" s="17" t="s">
        <v>119</v>
      </c>
      <c r="J121" s="17" t="s">
        <v>115</v>
      </c>
      <c r="K121" s="17" t="n">
        <v>6</v>
      </c>
      <c r="L121" s="17" t="s">
        <v>81</v>
      </c>
      <c r="M121" s="17" t="s">
        <v>120</v>
      </c>
      <c r="N121" s="19" t="n">
        <v>3.54</v>
      </c>
      <c r="O121" s="19" t="n">
        <v>21.24</v>
      </c>
      <c r="P121" s="17" t="s">
        <v>33</v>
      </c>
      <c r="Q121" s="20" t="n">
        <f aca="false">DATE(D121,C121,B121)</f>
        <v>44807</v>
      </c>
      <c r="R121" s="17" t="str">
        <f aca="false">IF(HOUR(E121)&lt;6,"Madrugada (0-5 h)",IF(HOUR(E121)&lt;12,"Mañana (6-11 h)",IF(HOUR(E121)&lt;18,"Tarde (12-17 h)","Noche (18-23 h)")))</f>
        <v>Tarde (12-17 h)</v>
      </c>
    </row>
    <row r="122" customFormat="false" ht="15" hidden="false" customHeight="false" outlineLevel="0" collapsed="false">
      <c r="A122" s="17" t="n">
        <v>1121</v>
      </c>
      <c r="B122" s="17" t="n">
        <v>7</v>
      </c>
      <c r="C122" s="17" t="n">
        <v>2</v>
      </c>
      <c r="D122" s="17" t="n">
        <v>2022</v>
      </c>
      <c r="E122" s="18" t="n">
        <v>0.00420138888888889</v>
      </c>
      <c r="F122" s="17" t="n">
        <v>3687</v>
      </c>
      <c r="G122" s="17" t="s">
        <v>121</v>
      </c>
      <c r="H122" s="17" t="s">
        <v>122</v>
      </c>
      <c r="I122" s="17" t="s">
        <v>123</v>
      </c>
      <c r="J122" s="17" t="s">
        <v>124</v>
      </c>
      <c r="K122" s="17" t="n">
        <v>20</v>
      </c>
      <c r="L122" s="17" t="s">
        <v>125</v>
      </c>
      <c r="M122" s="17" t="s">
        <v>76</v>
      </c>
      <c r="N122" s="19" t="n">
        <v>7</v>
      </c>
      <c r="O122" s="19" t="n">
        <v>140</v>
      </c>
      <c r="P122" s="17" t="s">
        <v>33</v>
      </c>
      <c r="Q122" s="20" t="n">
        <f aca="false">DATE(D122,C122,B122)</f>
        <v>44599</v>
      </c>
      <c r="R122" s="17" t="str">
        <f aca="false">IF(HOUR(E122)&lt;6,"Madrugada (0-5 h)",IF(HOUR(E122)&lt;12,"Mañana (6-11 h)",IF(HOUR(E122)&lt;18,"Tarde (12-17 h)","Noche (18-23 h)")))</f>
        <v>Madrugada (0-5 h)</v>
      </c>
    </row>
    <row r="123" customFormat="false" ht="15" hidden="false" customHeight="false" outlineLevel="0" collapsed="false">
      <c r="A123" s="17" t="n">
        <v>1122</v>
      </c>
      <c r="B123" s="17" t="n">
        <v>21</v>
      </c>
      <c r="C123" s="17" t="n">
        <v>4</v>
      </c>
      <c r="D123" s="17" t="n">
        <v>2022</v>
      </c>
      <c r="E123" s="18" t="n">
        <v>0.867222222222222</v>
      </c>
      <c r="F123" s="17" t="n">
        <v>1345</v>
      </c>
      <c r="G123" s="17" t="s">
        <v>126</v>
      </c>
      <c r="H123" s="17" t="s">
        <v>127</v>
      </c>
      <c r="I123" s="17" t="s">
        <v>128</v>
      </c>
      <c r="J123" s="17" t="s">
        <v>129</v>
      </c>
      <c r="K123" s="17" t="n">
        <v>13</v>
      </c>
      <c r="L123" s="17" t="s">
        <v>98</v>
      </c>
      <c r="M123" s="17" t="s">
        <v>62</v>
      </c>
      <c r="N123" s="19" t="n">
        <v>3.05</v>
      </c>
      <c r="O123" s="19" t="n">
        <v>39.65</v>
      </c>
      <c r="P123" s="17" t="s">
        <v>33</v>
      </c>
      <c r="Q123" s="20" t="n">
        <f aca="false">DATE(D123,C123,B123)</f>
        <v>44672</v>
      </c>
      <c r="R123" s="17" t="str">
        <f aca="false">IF(HOUR(E123)&lt;6,"Madrugada (0-5 h)",IF(HOUR(E123)&lt;12,"Mañana (6-11 h)",IF(HOUR(E123)&lt;18,"Tarde (12-17 h)","Noche (18-23 h)")))</f>
        <v>Noche (18-23 h)</v>
      </c>
    </row>
    <row r="124" customFormat="false" ht="15" hidden="false" customHeight="false" outlineLevel="0" collapsed="false">
      <c r="A124" s="17" t="n">
        <v>1123</v>
      </c>
      <c r="B124" s="17" t="n">
        <v>13</v>
      </c>
      <c r="C124" s="17" t="n">
        <v>8</v>
      </c>
      <c r="D124" s="17" t="n">
        <v>2022</v>
      </c>
      <c r="E124" s="18" t="n">
        <v>0.415717592592593</v>
      </c>
      <c r="F124" s="17" t="n">
        <v>3202</v>
      </c>
      <c r="G124" s="17" t="s">
        <v>130</v>
      </c>
      <c r="H124" s="17" t="s">
        <v>131</v>
      </c>
      <c r="I124" s="17" t="s">
        <v>132</v>
      </c>
      <c r="J124" s="17" t="s">
        <v>129</v>
      </c>
      <c r="K124" s="17" t="n">
        <v>45</v>
      </c>
      <c r="L124" s="17" t="s">
        <v>98</v>
      </c>
      <c r="M124" s="17" t="s">
        <v>62</v>
      </c>
      <c r="N124" s="19" t="n">
        <v>4.57</v>
      </c>
      <c r="O124" s="19" t="n">
        <v>205.65</v>
      </c>
      <c r="P124" s="17" t="s">
        <v>33</v>
      </c>
      <c r="Q124" s="20" t="n">
        <f aca="false">DATE(D124,C124,B124)</f>
        <v>44786</v>
      </c>
      <c r="R124" s="17" t="str">
        <f aca="false">IF(HOUR(E124)&lt;6,"Madrugada (0-5 h)",IF(HOUR(E124)&lt;12,"Mañana (6-11 h)",IF(HOUR(E124)&lt;18,"Tarde (12-17 h)","Noche (18-23 h)")))</f>
        <v>Mañana (6-11 h)</v>
      </c>
    </row>
    <row r="125" customFormat="false" ht="15" hidden="false" customHeight="false" outlineLevel="0" collapsed="false">
      <c r="A125" s="17" t="n">
        <v>1124</v>
      </c>
      <c r="B125" s="17" t="n">
        <v>5</v>
      </c>
      <c r="C125" s="17" t="n">
        <v>10</v>
      </c>
      <c r="D125" s="17" t="n">
        <v>2022</v>
      </c>
      <c r="E125" s="18" t="n">
        <v>0.793125</v>
      </c>
      <c r="F125" s="17" t="n">
        <v>2682</v>
      </c>
      <c r="G125" s="17" t="s">
        <v>133</v>
      </c>
      <c r="H125" s="17" t="s">
        <v>134</v>
      </c>
      <c r="I125" s="17" t="s">
        <v>135</v>
      </c>
      <c r="J125" s="17" t="s">
        <v>136</v>
      </c>
      <c r="K125" s="17" t="n">
        <v>26</v>
      </c>
      <c r="L125" s="17" t="s">
        <v>81</v>
      </c>
      <c r="M125" s="17" t="s">
        <v>76</v>
      </c>
      <c r="N125" s="19" t="n">
        <v>9.89</v>
      </c>
      <c r="O125" s="19" t="n">
        <v>257.14</v>
      </c>
      <c r="P125" s="17" t="s">
        <v>33</v>
      </c>
      <c r="Q125" s="20" t="n">
        <f aca="false">DATE(D125,C125,B125)</f>
        <v>44839</v>
      </c>
      <c r="R125" s="17" t="str">
        <f aca="false">IF(HOUR(E125)&lt;6,"Madrugada (0-5 h)",IF(HOUR(E125)&lt;12,"Mañana (6-11 h)",IF(HOUR(E125)&lt;18,"Tarde (12-17 h)","Noche (18-23 h)")))</f>
        <v>Noche (18-23 h)</v>
      </c>
    </row>
    <row r="126" customFormat="false" ht="15" hidden="false" customHeight="false" outlineLevel="0" collapsed="false">
      <c r="A126" s="17" t="n">
        <v>1125</v>
      </c>
      <c r="B126" s="17" t="n">
        <v>5</v>
      </c>
      <c r="C126" s="17" t="n">
        <v>7</v>
      </c>
      <c r="D126" s="17" t="n">
        <v>2022</v>
      </c>
      <c r="E126" s="18" t="n">
        <v>0.875266203703704</v>
      </c>
      <c r="F126" s="17" t="n">
        <v>4548</v>
      </c>
      <c r="G126" s="17" t="s">
        <v>137</v>
      </c>
      <c r="H126" s="21" t="s">
        <v>413</v>
      </c>
      <c r="I126" s="17" t="s">
        <v>139</v>
      </c>
      <c r="J126" s="17" t="s">
        <v>140</v>
      </c>
      <c r="K126" s="17" t="n">
        <v>27</v>
      </c>
      <c r="L126" s="17" t="s">
        <v>31</v>
      </c>
      <c r="M126" s="17" t="s">
        <v>32</v>
      </c>
      <c r="N126" s="19" t="n">
        <v>3.44</v>
      </c>
      <c r="O126" s="19" t="n">
        <v>92.88</v>
      </c>
      <c r="P126" s="17" t="s">
        <v>43</v>
      </c>
      <c r="Q126" s="20" t="n">
        <f aca="false">DATE(D126,C126,B126)</f>
        <v>44747</v>
      </c>
      <c r="R126" s="17" t="str">
        <f aca="false">IF(HOUR(E126)&lt;6,"Madrugada (0-5 h)",IF(HOUR(E126)&lt;12,"Mañana (6-11 h)",IF(HOUR(E126)&lt;18,"Tarde (12-17 h)","Noche (18-23 h)")))</f>
        <v>Noche (18-23 h)</v>
      </c>
    </row>
    <row r="127" customFormat="false" ht="15" hidden="false" customHeight="false" outlineLevel="0" collapsed="false">
      <c r="A127" s="17" t="n">
        <v>1126</v>
      </c>
      <c r="B127" s="17" t="n">
        <v>22</v>
      </c>
      <c r="C127" s="17" t="n">
        <v>7</v>
      </c>
      <c r="D127" s="17" t="n">
        <v>2021</v>
      </c>
      <c r="E127" s="18" t="n">
        <v>0.00833333333333333</v>
      </c>
      <c r="F127" s="17" t="n">
        <v>2854</v>
      </c>
      <c r="G127" s="17" t="s">
        <v>141</v>
      </c>
      <c r="H127" s="17" t="s">
        <v>142</v>
      </c>
      <c r="I127" s="17" t="s">
        <v>143</v>
      </c>
      <c r="J127" s="17" t="s">
        <v>144</v>
      </c>
      <c r="K127" s="17" t="n">
        <v>20</v>
      </c>
      <c r="L127" s="17" t="s">
        <v>42</v>
      </c>
      <c r="M127" s="17" t="s">
        <v>48</v>
      </c>
      <c r="N127" s="19" t="n">
        <v>8.88</v>
      </c>
      <c r="O127" s="19" t="n">
        <v>177.6</v>
      </c>
      <c r="P127" s="17" t="s">
        <v>33</v>
      </c>
      <c r="Q127" s="20" t="n">
        <f aca="false">DATE(D127,C127,B127)</f>
        <v>44399</v>
      </c>
      <c r="R127" s="17" t="str">
        <f aca="false">IF(HOUR(E127)&lt;6,"Madrugada (0-5 h)",IF(HOUR(E127)&lt;12,"Mañana (6-11 h)",IF(HOUR(E127)&lt;18,"Tarde (12-17 h)","Noche (18-23 h)")))</f>
        <v>Madrugada (0-5 h)</v>
      </c>
    </row>
    <row r="128" customFormat="false" ht="15" hidden="false" customHeight="false" outlineLevel="0" collapsed="false">
      <c r="A128" s="17" t="n">
        <v>1127</v>
      </c>
      <c r="B128" s="17" t="n">
        <v>28</v>
      </c>
      <c r="C128" s="17" t="n">
        <v>8</v>
      </c>
      <c r="D128" s="17" t="n">
        <v>2021</v>
      </c>
      <c r="E128" s="18" t="n">
        <v>0.704131944444445</v>
      </c>
      <c r="F128" s="17" t="n">
        <v>2514</v>
      </c>
      <c r="G128" s="17" t="s">
        <v>145</v>
      </c>
      <c r="H128" s="17" t="s">
        <v>146</v>
      </c>
      <c r="I128" s="17" t="s">
        <v>147</v>
      </c>
      <c r="J128" s="17" t="s">
        <v>148</v>
      </c>
      <c r="K128" s="17" t="n">
        <v>13</v>
      </c>
      <c r="L128" s="17" t="s">
        <v>42</v>
      </c>
      <c r="M128" s="17" t="s">
        <v>48</v>
      </c>
      <c r="N128" s="19" t="n">
        <v>15.87</v>
      </c>
      <c r="O128" s="19" t="n">
        <v>206.31</v>
      </c>
      <c r="P128" s="17" t="s">
        <v>33</v>
      </c>
      <c r="Q128" s="20" t="n">
        <f aca="false">DATE(D128,C128,B128)</f>
        <v>44436</v>
      </c>
      <c r="R128" s="17" t="str">
        <f aca="false">IF(HOUR(E128)&lt;6,"Madrugada (0-5 h)",IF(HOUR(E128)&lt;12,"Mañana (6-11 h)",IF(HOUR(E128)&lt;18,"Tarde (12-17 h)","Noche (18-23 h)")))</f>
        <v>Tarde (12-17 h)</v>
      </c>
    </row>
    <row r="129" customFormat="false" ht="15" hidden="false" customHeight="false" outlineLevel="0" collapsed="false">
      <c r="A129" s="17" t="n">
        <v>1128</v>
      </c>
      <c r="B129" s="17" t="n">
        <v>2</v>
      </c>
      <c r="C129" s="17" t="n">
        <v>8</v>
      </c>
      <c r="D129" s="17" t="n">
        <v>2021</v>
      </c>
      <c r="E129" s="18" t="n">
        <v>0.944212962962963</v>
      </c>
      <c r="F129" s="17" t="n">
        <v>2444</v>
      </c>
      <c r="G129" s="17" t="s">
        <v>149</v>
      </c>
      <c r="H129" s="17" t="s">
        <v>150</v>
      </c>
      <c r="I129" s="17" t="s">
        <v>151</v>
      </c>
      <c r="J129" s="17" t="s">
        <v>152</v>
      </c>
      <c r="K129" s="17" t="n">
        <v>36</v>
      </c>
      <c r="L129" s="17" t="s">
        <v>42</v>
      </c>
      <c r="M129" s="17" t="s">
        <v>32</v>
      </c>
      <c r="N129" s="19" t="n">
        <v>13.04</v>
      </c>
      <c r="O129" s="19" t="n">
        <v>469.44</v>
      </c>
      <c r="P129" s="17" t="s">
        <v>33</v>
      </c>
      <c r="Q129" s="20" t="n">
        <f aca="false">DATE(D129,C129,B129)</f>
        <v>44410</v>
      </c>
      <c r="R129" s="17" t="str">
        <f aca="false">IF(HOUR(E129)&lt;6,"Madrugada (0-5 h)",IF(HOUR(E129)&lt;12,"Mañana (6-11 h)",IF(HOUR(E129)&lt;18,"Tarde (12-17 h)","Noche (18-23 h)")))</f>
        <v>Noche (18-23 h)</v>
      </c>
    </row>
    <row r="130" customFormat="false" ht="15" hidden="false" customHeight="false" outlineLevel="0" collapsed="false">
      <c r="A130" s="17" t="n">
        <v>1129</v>
      </c>
      <c r="B130" s="17" t="n">
        <v>5</v>
      </c>
      <c r="C130" s="17" t="n">
        <v>8</v>
      </c>
      <c r="D130" s="17" t="n">
        <v>2021</v>
      </c>
      <c r="E130" s="18" t="n">
        <v>0.977777777777778</v>
      </c>
      <c r="F130" s="17" t="n">
        <v>1987</v>
      </c>
      <c r="G130" s="17" t="s">
        <v>153</v>
      </c>
      <c r="H130" s="17" t="s">
        <v>154</v>
      </c>
      <c r="I130" s="17" t="s">
        <v>155</v>
      </c>
      <c r="J130" s="17" t="s">
        <v>155</v>
      </c>
      <c r="K130" s="17" t="n">
        <v>37</v>
      </c>
      <c r="L130" s="17" t="s">
        <v>42</v>
      </c>
      <c r="M130" s="17" t="s">
        <v>32</v>
      </c>
      <c r="N130" s="19" t="n">
        <v>9.31</v>
      </c>
      <c r="O130" s="19" t="n">
        <v>344.47</v>
      </c>
      <c r="P130" s="17" t="s">
        <v>43</v>
      </c>
      <c r="Q130" s="20" t="n">
        <f aca="false">DATE(D130,C130,B130)</f>
        <v>44413</v>
      </c>
      <c r="R130" s="17" t="str">
        <f aca="false">IF(HOUR(E130)&lt;6,"Madrugada (0-5 h)",IF(HOUR(E130)&lt;12,"Mañana (6-11 h)",IF(HOUR(E130)&lt;18,"Tarde (12-17 h)","Noche (18-23 h)")))</f>
        <v>Noche (18-23 h)</v>
      </c>
    </row>
    <row r="131" customFormat="false" ht="15" hidden="false" customHeight="false" outlineLevel="0" collapsed="false">
      <c r="A131" s="17" t="n">
        <v>1130</v>
      </c>
      <c r="B131" s="17" t="n">
        <v>15</v>
      </c>
      <c r="C131" s="17" t="n">
        <v>7</v>
      </c>
      <c r="D131" s="17" t="n">
        <v>2021</v>
      </c>
      <c r="E131" s="18" t="n">
        <v>0.729594907407407</v>
      </c>
      <c r="F131" s="17" t="n">
        <v>3457</v>
      </c>
      <c r="G131" s="17" t="s">
        <v>156</v>
      </c>
      <c r="H131" s="17" t="s">
        <v>157</v>
      </c>
      <c r="I131" s="17" t="s">
        <v>158</v>
      </c>
      <c r="J131" s="17" t="s">
        <v>159</v>
      </c>
      <c r="K131" s="17" t="n">
        <v>18</v>
      </c>
      <c r="L131" s="17" t="s">
        <v>125</v>
      </c>
      <c r="M131" s="17" t="s">
        <v>82</v>
      </c>
      <c r="N131" s="19" t="n">
        <v>8.51</v>
      </c>
      <c r="O131" s="19" t="n">
        <v>153.18</v>
      </c>
      <c r="P131" s="17" t="s">
        <v>33</v>
      </c>
      <c r="Q131" s="20" t="n">
        <f aca="false">DATE(D131,C131,B131)</f>
        <v>44392</v>
      </c>
      <c r="R131" s="17" t="str">
        <f aca="false">IF(HOUR(E131)&lt;6,"Madrugada (0-5 h)",IF(HOUR(E131)&lt;12,"Mañana (6-11 h)",IF(HOUR(E131)&lt;18,"Tarde (12-17 h)","Noche (18-23 h)")))</f>
        <v>Tarde (12-17 h)</v>
      </c>
    </row>
    <row r="132" customFormat="false" ht="15" hidden="false" customHeight="false" outlineLevel="0" collapsed="false">
      <c r="A132" s="17" t="n">
        <v>1131</v>
      </c>
      <c r="B132" s="17" t="n">
        <v>20</v>
      </c>
      <c r="C132" s="17" t="n">
        <v>1</v>
      </c>
      <c r="D132" s="17" t="n">
        <v>2021</v>
      </c>
      <c r="E132" s="18" t="n">
        <v>0.41900462962963</v>
      </c>
      <c r="F132" s="17" t="n">
        <v>3859</v>
      </c>
      <c r="G132" s="17" t="s">
        <v>160</v>
      </c>
      <c r="H132" s="17" t="s">
        <v>161</v>
      </c>
      <c r="I132" s="17" t="s">
        <v>162</v>
      </c>
      <c r="J132" s="17" t="s">
        <v>163</v>
      </c>
      <c r="K132" s="17" t="n">
        <v>18</v>
      </c>
      <c r="L132" s="17" t="s">
        <v>42</v>
      </c>
      <c r="M132" s="17" t="s">
        <v>76</v>
      </c>
      <c r="N132" s="19" t="n">
        <v>15.63</v>
      </c>
      <c r="O132" s="19" t="n">
        <v>281.34</v>
      </c>
      <c r="P132" s="17" t="s">
        <v>33</v>
      </c>
      <c r="Q132" s="20" t="n">
        <f aca="false">DATE(D132,C132,B132)</f>
        <v>44216</v>
      </c>
      <c r="R132" s="17" t="str">
        <f aca="false">IF(HOUR(E132)&lt;6,"Madrugada (0-5 h)",IF(HOUR(E132)&lt;12,"Mañana (6-11 h)",IF(HOUR(E132)&lt;18,"Tarde (12-17 h)","Noche (18-23 h)")))</f>
        <v>Mañana (6-11 h)</v>
      </c>
    </row>
    <row r="133" customFormat="false" ht="15" hidden="false" customHeight="false" outlineLevel="0" collapsed="false">
      <c r="A133" s="17" t="n">
        <v>1132</v>
      </c>
      <c r="B133" s="17" t="n">
        <v>14</v>
      </c>
      <c r="C133" s="17" t="n">
        <v>3</v>
      </c>
      <c r="D133" s="17" t="n">
        <v>2021</v>
      </c>
      <c r="E133" s="18" t="n">
        <v>0.9484375</v>
      </c>
      <c r="F133" s="17" t="n">
        <v>1387</v>
      </c>
      <c r="G133" s="17" t="s">
        <v>164</v>
      </c>
      <c r="H133" s="17" t="s">
        <v>165</v>
      </c>
      <c r="I133" s="17" t="s">
        <v>166</v>
      </c>
      <c r="J133" s="17" t="s">
        <v>167</v>
      </c>
      <c r="K133" s="17" t="n">
        <v>20</v>
      </c>
      <c r="L133" s="17" t="s">
        <v>81</v>
      </c>
      <c r="M133" s="17" t="s">
        <v>82</v>
      </c>
      <c r="N133" s="19" t="n">
        <v>6.99</v>
      </c>
      <c r="O133" s="19" t="n">
        <v>139.8</v>
      </c>
      <c r="P133" s="17" t="s">
        <v>33</v>
      </c>
      <c r="Q133" s="20" t="n">
        <f aca="false">DATE(D133,C133,B133)</f>
        <v>44269</v>
      </c>
      <c r="R133" s="17" t="str">
        <f aca="false">IF(HOUR(E133)&lt;6,"Madrugada (0-5 h)",IF(HOUR(E133)&lt;12,"Mañana (6-11 h)",IF(HOUR(E133)&lt;18,"Tarde (12-17 h)","Noche (18-23 h)")))</f>
        <v>Noche (18-23 h)</v>
      </c>
    </row>
    <row r="134" customFormat="false" ht="15" hidden="false" customHeight="false" outlineLevel="0" collapsed="false">
      <c r="A134" s="17" t="n">
        <v>1133</v>
      </c>
      <c r="B134" s="17" t="n">
        <v>24</v>
      </c>
      <c r="C134" s="17" t="n">
        <v>11</v>
      </c>
      <c r="D134" s="17" t="n">
        <v>2021</v>
      </c>
      <c r="E134" s="18" t="n">
        <v>0.116354166666667</v>
      </c>
      <c r="F134" s="17" t="n">
        <v>1754</v>
      </c>
      <c r="G134" s="17" t="s">
        <v>168</v>
      </c>
      <c r="H134" s="17" t="s">
        <v>169</v>
      </c>
      <c r="I134" s="17" t="s">
        <v>170</v>
      </c>
      <c r="J134" s="17" t="s">
        <v>171</v>
      </c>
      <c r="K134" s="17" t="n">
        <v>11</v>
      </c>
      <c r="L134" s="17" t="s">
        <v>31</v>
      </c>
      <c r="M134" s="17" t="s">
        <v>76</v>
      </c>
      <c r="N134" s="19" t="n">
        <v>6.84</v>
      </c>
      <c r="O134" s="19" t="n">
        <v>75.24</v>
      </c>
      <c r="P134" s="17" t="s">
        <v>33</v>
      </c>
      <c r="Q134" s="20" t="n">
        <f aca="false">DATE(D134,C134,B134)</f>
        <v>44524</v>
      </c>
      <c r="R134" s="17" t="str">
        <f aca="false">IF(HOUR(E134)&lt;6,"Madrugada (0-5 h)",IF(HOUR(E134)&lt;12,"Mañana (6-11 h)",IF(HOUR(E134)&lt;18,"Tarde (12-17 h)","Noche (18-23 h)")))</f>
        <v>Madrugada (0-5 h)</v>
      </c>
    </row>
    <row r="135" customFormat="false" ht="15" hidden="false" customHeight="false" outlineLevel="0" collapsed="false">
      <c r="A135" s="17" t="n">
        <v>1134</v>
      </c>
      <c r="B135" s="17" t="n">
        <v>2</v>
      </c>
      <c r="C135" s="17" t="n">
        <v>7</v>
      </c>
      <c r="D135" s="17" t="n">
        <v>2022</v>
      </c>
      <c r="E135" s="18" t="n">
        <v>0.258171296296296</v>
      </c>
      <c r="F135" s="17" t="n">
        <v>4818</v>
      </c>
      <c r="G135" s="17" t="s">
        <v>172</v>
      </c>
      <c r="H135" s="17" t="s">
        <v>173</v>
      </c>
      <c r="I135" s="17" t="s">
        <v>174</v>
      </c>
      <c r="J135" s="17" t="s">
        <v>175</v>
      </c>
      <c r="K135" s="17" t="n">
        <v>4</v>
      </c>
      <c r="L135" s="17" t="s">
        <v>31</v>
      </c>
      <c r="M135" s="17" t="s">
        <v>76</v>
      </c>
      <c r="N135" s="19" t="n">
        <v>5.5</v>
      </c>
      <c r="O135" s="19" t="n">
        <v>22</v>
      </c>
      <c r="P135" s="17" t="s">
        <v>33</v>
      </c>
      <c r="Q135" s="20" t="n">
        <f aca="false">DATE(D135,C135,B135)</f>
        <v>44744</v>
      </c>
      <c r="R135" s="17" t="str">
        <f aca="false">IF(HOUR(E135)&lt;6,"Madrugada (0-5 h)",IF(HOUR(E135)&lt;12,"Mañana (6-11 h)",IF(HOUR(E135)&lt;18,"Tarde (12-17 h)","Noche (18-23 h)")))</f>
        <v>Mañana (6-11 h)</v>
      </c>
    </row>
    <row r="136" customFormat="false" ht="15" hidden="false" customHeight="false" outlineLevel="0" collapsed="false">
      <c r="A136" s="17" t="n">
        <v>1135</v>
      </c>
      <c r="B136" s="17" t="n">
        <v>26</v>
      </c>
      <c r="C136" s="17" t="n">
        <v>11</v>
      </c>
      <c r="D136" s="17" t="n">
        <v>2022</v>
      </c>
      <c r="E136" s="18" t="n">
        <v>0.749791666666667</v>
      </c>
      <c r="F136" s="17" t="n">
        <v>4811</v>
      </c>
      <c r="G136" s="17" t="s">
        <v>176</v>
      </c>
      <c r="H136" s="17" t="s">
        <v>177</v>
      </c>
      <c r="I136" s="17" t="s">
        <v>178</v>
      </c>
      <c r="J136" s="17" t="s">
        <v>179</v>
      </c>
      <c r="K136" s="17" t="n">
        <v>26</v>
      </c>
      <c r="L136" s="17" t="s">
        <v>31</v>
      </c>
      <c r="M136" s="17" t="s">
        <v>76</v>
      </c>
      <c r="N136" s="19" t="n">
        <v>9.56</v>
      </c>
      <c r="O136" s="19" t="n">
        <v>248.56</v>
      </c>
      <c r="P136" s="17" t="s">
        <v>33</v>
      </c>
      <c r="Q136" s="20" t="n">
        <f aca="false">DATE(D136,C136,B136)</f>
        <v>44891</v>
      </c>
      <c r="R136" s="17" t="str">
        <f aca="false">IF(HOUR(E136)&lt;6,"Madrugada (0-5 h)",IF(HOUR(E136)&lt;12,"Mañana (6-11 h)",IF(HOUR(E136)&lt;18,"Tarde (12-17 h)","Noche (18-23 h)")))</f>
        <v>Tarde (12-17 h)</v>
      </c>
    </row>
    <row r="137" customFormat="false" ht="15" hidden="false" customHeight="false" outlineLevel="0" collapsed="false">
      <c r="A137" s="17" t="n">
        <v>1136</v>
      </c>
      <c r="B137" s="17" t="n">
        <v>16</v>
      </c>
      <c r="C137" s="17" t="n">
        <v>1</v>
      </c>
      <c r="D137" s="17" t="n">
        <v>2021</v>
      </c>
      <c r="E137" s="18" t="n">
        <v>0.0974537037037037</v>
      </c>
      <c r="F137" s="17" t="n">
        <v>3811</v>
      </c>
      <c r="G137" s="17" t="s">
        <v>180</v>
      </c>
      <c r="H137" s="17" t="s">
        <v>181</v>
      </c>
      <c r="I137" s="17" t="s">
        <v>182</v>
      </c>
      <c r="J137" s="17" t="s">
        <v>183</v>
      </c>
      <c r="K137" s="17" t="n">
        <v>3</v>
      </c>
      <c r="L137" s="17" t="s">
        <v>31</v>
      </c>
      <c r="M137" s="17" t="s">
        <v>32</v>
      </c>
      <c r="N137" s="19" t="n">
        <v>3.43</v>
      </c>
      <c r="O137" s="19" t="n">
        <v>10.29</v>
      </c>
      <c r="P137" s="17" t="s">
        <v>33</v>
      </c>
      <c r="Q137" s="20" t="n">
        <f aca="false">DATE(D137,C137,B137)</f>
        <v>44212</v>
      </c>
      <c r="R137" s="17" t="str">
        <f aca="false">IF(HOUR(E137)&lt;6,"Madrugada (0-5 h)",IF(HOUR(E137)&lt;12,"Mañana (6-11 h)",IF(HOUR(E137)&lt;18,"Tarde (12-17 h)","Noche (18-23 h)")))</f>
        <v>Madrugada (0-5 h)</v>
      </c>
    </row>
    <row r="138" customFormat="false" ht="15" hidden="false" customHeight="false" outlineLevel="0" collapsed="false">
      <c r="A138" s="17" t="n">
        <v>1137</v>
      </c>
      <c r="B138" s="17" t="n">
        <v>16</v>
      </c>
      <c r="C138" s="17" t="n">
        <v>4</v>
      </c>
      <c r="D138" s="17" t="n">
        <v>2022</v>
      </c>
      <c r="E138" s="18" t="n">
        <v>0.547395833333333</v>
      </c>
      <c r="F138" s="17" t="n">
        <v>3303</v>
      </c>
      <c r="G138" s="17" t="s">
        <v>184</v>
      </c>
      <c r="H138" s="17" t="s">
        <v>185</v>
      </c>
      <c r="I138" s="17" t="s">
        <v>186</v>
      </c>
      <c r="J138" s="17" t="s">
        <v>187</v>
      </c>
      <c r="K138" s="17" t="n">
        <v>41</v>
      </c>
      <c r="L138" s="17" t="s">
        <v>81</v>
      </c>
      <c r="M138" s="17" t="s">
        <v>82</v>
      </c>
      <c r="N138" s="19" t="n">
        <v>1.23</v>
      </c>
      <c r="O138" s="19" t="n">
        <v>50.43</v>
      </c>
      <c r="P138" s="17" t="s">
        <v>33</v>
      </c>
      <c r="Q138" s="20" t="n">
        <f aca="false">DATE(D138,C138,B138)</f>
        <v>44667</v>
      </c>
      <c r="R138" s="17" t="str">
        <f aca="false">IF(HOUR(E138)&lt;6,"Madrugada (0-5 h)",IF(HOUR(E138)&lt;12,"Mañana (6-11 h)",IF(HOUR(E138)&lt;18,"Tarde (12-17 h)","Noche (18-23 h)")))</f>
        <v>Tarde (12-17 h)</v>
      </c>
    </row>
    <row r="139" customFormat="false" ht="15" hidden="false" customHeight="false" outlineLevel="0" collapsed="false">
      <c r="A139" s="17" t="n">
        <v>1138</v>
      </c>
      <c r="B139" s="17" t="n">
        <v>15</v>
      </c>
      <c r="C139" s="17" t="n">
        <v>6</v>
      </c>
      <c r="D139" s="17" t="n">
        <v>2021</v>
      </c>
      <c r="E139" s="18" t="n">
        <v>0.132465277777778</v>
      </c>
      <c r="F139" s="17" t="n">
        <v>4318</v>
      </c>
      <c r="G139" s="17" t="s">
        <v>188</v>
      </c>
      <c r="H139" s="17" t="s">
        <v>189</v>
      </c>
      <c r="I139" s="17" t="s">
        <v>190</v>
      </c>
      <c r="J139" s="17" t="s">
        <v>191</v>
      </c>
      <c r="K139" s="17" t="n">
        <v>10</v>
      </c>
      <c r="L139" s="17" t="s">
        <v>125</v>
      </c>
      <c r="M139" s="17" t="s">
        <v>76</v>
      </c>
      <c r="N139" s="19" t="n">
        <v>13.55</v>
      </c>
      <c r="O139" s="19" t="n">
        <v>135.5</v>
      </c>
      <c r="P139" s="17" t="s">
        <v>33</v>
      </c>
      <c r="Q139" s="20" t="n">
        <f aca="false">DATE(D139,C139,B139)</f>
        <v>44362</v>
      </c>
      <c r="R139" s="17" t="str">
        <f aca="false">IF(HOUR(E139)&lt;6,"Madrugada (0-5 h)",IF(HOUR(E139)&lt;12,"Mañana (6-11 h)",IF(HOUR(E139)&lt;18,"Tarde (12-17 h)","Noche (18-23 h)")))</f>
        <v>Madrugada (0-5 h)</v>
      </c>
    </row>
    <row r="140" customFormat="false" ht="15" hidden="false" customHeight="false" outlineLevel="0" collapsed="false">
      <c r="A140" s="17" t="n">
        <v>1139</v>
      </c>
      <c r="B140" s="17" t="n">
        <v>16</v>
      </c>
      <c r="C140" s="17" t="n">
        <v>2</v>
      </c>
      <c r="D140" s="17" t="n">
        <v>2021</v>
      </c>
      <c r="E140" s="18" t="n">
        <v>0.760891203703704</v>
      </c>
      <c r="F140" s="17" t="n">
        <v>4243</v>
      </c>
      <c r="G140" s="17" t="s">
        <v>192</v>
      </c>
      <c r="H140" s="17" t="s">
        <v>193</v>
      </c>
      <c r="I140" s="17" t="s">
        <v>194</v>
      </c>
      <c r="J140" s="17" t="s">
        <v>195</v>
      </c>
      <c r="K140" s="17" t="n">
        <v>44</v>
      </c>
      <c r="L140" s="17" t="s">
        <v>31</v>
      </c>
      <c r="M140" s="17" t="s">
        <v>82</v>
      </c>
      <c r="N140" s="19" t="n">
        <v>6.78</v>
      </c>
      <c r="O140" s="19" t="n">
        <v>298.32</v>
      </c>
      <c r="P140" s="17" t="s">
        <v>33</v>
      </c>
      <c r="Q140" s="20" t="n">
        <f aca="false">DATE(D140,C140,B140)</f>
        <v>44243</v>
      </c>
      <c r="R140" s="17" t="str">
        <f aca="false">IF(HOUR(E140)&lt;6,"Madrugada (0-5 h)",IF(HOUR(E140)&lt;12,"Mañana (6-11 h)",IF(HOUR(E140)&lt;18,"Tarde (12-17 h)","Noche (18-23 h)")))</f>
        <v>Noche (18-23 h)</v>
      </c>
    </row>
    <row r="141" customFormat="false" ht="15" hidden="false" customHeight="false" outlineLevel="0" collapsed="false">
      <c r="A141" s="17" t="n">
        <v>1140</v>
      </c>
      <c r="B141" s="17" t="n">
        <v>10</v>
      </c>
      <c r="C141" s="17" t="n">
        <v>8</v>
      </c>
      <c r="D141" s="17" t="n">
        <v>2022</v>
      </c>
      <c r="E141" s="18" t="n">
        <v>0.920798611111111</v>
      </c>
      <c r="F141" s="17" t="n">
        <v>1809</v>
      </c>
      <c r="G141" s="17" t="s">
        <v>196</v>
      </c>
      <c r="H141" s="17" t="s">
        <v>197</v>
      </c>
      <c r="I141" s="17" t="s">
        <v>198</v>
      </c>
      <c r="J141" s="17" t="s">
        <v>199</v>
      </c>
      <c r="K141" s="17" t="n">
        <v>35</v>
      </c>
      <c r="L141" s="17" t="s">
        <v>31</v>
      </c>
      <c r="M141" s="17" t="s">
        <v>32</v>
      </c>
      <c r="N141" s="19" t="n">
        <v>8.02</v>
      </c>
      <c r="O141" s="19" t="n">
        <v>280.7</v>
      </c>
      <c r="P141" s="17" t="s">
        <v>33</v>
      </c>
      <c r="Q141" s="20" t="n">
        <f aca="false">DATE(D141,C141,B141)</f>
        <v>44783</v>
      </c>
      <c r="R141" s="17" t="str">
        <f aca="false">IF(HOUR(E141)&lt;6,"Madrugada (0-5 h)",IF(HOUR(E141)&lt;12,"Mañana (6-11 h)",IF(HOUR(E141)&lt;18,"Tarde (12-17 h)","Noche (18-23 h)")))</f>
        <v>Noche (18-23 h)</v>
      </c>
    </row>
    <row r="142" customFormat="false" ht="15" hidden="false" customHeight="false" outlineLevel="0" collapsed="false">
      <c r="A142" s="17" t="n">
        <v>1141</v>
      </c>
      <c r="B142" s="17" t="n">
        <v>11</v>
      </c>
      <c r="C142" s="17" t="n">
        <v>7</v>
      </c>
      <c r="D142" s="17" t="n">
        <v>2021</v>
      </c>
      <c r="E142" s="18" t="n">
        <v>0.48994212962963</v>
      </c>
      <c r="F142" s="17" t="n">
        <v>3438</v>
      </c>
      <c r="G142" s="17" t="s">
        <v>200</v>
      </c>
      <c r="H142" s="17" t="s">
        <v>201</v>
      </c>
      <c r="I142" s="17" t="s">
        <v>113</v>
      </c>
      <c r="J142" s="17" t="s">
        <v>202</v>
      </c>
      <c r="K142" s="17" t="n">
        <v>25</v>
      </c>
      <c r="L142" s="17" t="s">
        <v>31</v>
      </c>
      <c r="M142" s="17" t="s">
        <v>32</v>
      </c>
      <c r="N142" s="19" t="n">
        <v>7.76</v>
      </c>
      <c r="O142" s="19" t="n">
        <v>194</v>
      </c>
      <c r="P142" s="17" t="s">
        <v>33</v>
      </c>
      <c r="Q142" s="20" t="n">
        <f aca="false">DATE(D142,C142,B142)</f>
        <v>44388</v>
      </c>
      <c r="R142" s="17" t="str">
        <f aca="false">IF(HOUR(E142)&lt;6,"Madrugada (0-5 h)",IF(HOUR(E142)&lt;12,"Mañana (6-11 h)",IF(HOUR(E142)&lt;18,"Tarde (12-17 h)","Noche (18-23 h)")))</f>
        <v>Mañana (6-11 h)</v>
      </c>
    </row>
    <row r="143" customFormat="false" ht="15" hidden="false" customHeight="false" outlineLevel="0" collapsed="false">
      <c r="A143" s="17" t="n">
        <v>1142</v>
      </c>
      <c r="B143" s="17" t="n">
        <v>24</v>
      </c>
      <c r="C143" s="17" t="n">
        <v>5</v>
      </c>
      <c r="D143" s="17" t="n">
        <v>2021</v>
      </c>
      <c r="E143" s="18" t="n">
        <v>0.900081018518519</v>
      </c>
      <c r="F143" s="17" t="n">
        <v>1270</v>
      </c>
      <c r="G143" s="17" t="s">
        <v>203</v>
      </c>
      <c r="H143" s="17" t="s">
        <v>414</v>
      </c>
      <c r="I143" s="17" t="s">
        <v>205</v>
      </c>
      <c r="J143" s="17" t="s">
        <v>206</v>
      </c>
      <c r="K143" s="17" t="n">
        <v>33</v>
      </c>
      <c r="L143" s="17" t="s">
        <v>42</v>
      </c>
      <c r="M143" s="17" t="s">
        <v>32</v>
      </c>
      <c r="N143" s="19" t="n">
        <v>8.87</v>
      </c>
      <c r="O143" s="19" t="n">
        <v>292.71</v>
      </c>
      <c r="P143" s="17" t="s">
        <v>33</v>
      </c>
      <c r="Q143" s="20" t="n">
        <f aca="false">DATE(D143,C143,B143)</f>
        <v>44340</v>
      </c>
      <c r="R143" s="17" t="str">
        <f aca="false">IF(HOUR(E143)&lt;6,"Madrugada (0-5 h)",IF(HOUR(E143)&lt;12,"Mañana (6-11 h)",IF(HOUR(E143)&lt;18,"Tarde (12-17 h)","Noche (18-23 h)")))</f>
        <v>Noche (18-23 h)</v>
      </c>
    </row>
    <row r="144" customFormat="false" ht="15" hidden="false" customHeight="false" outlineLevel="0" collapsed="false">
      <c r="A144" s="17" t="n">
        <v>1143</v>
      </c>
      <c r="B144" s="17" t="n">
        <v>11</v>
      </c>
      <c r="C144" s="17" t="n">
        <v>12</v>
      </c>
      <c r="D144" s="17" t="n">
        <v>2021</v>
      </c>
      <c r="E144" s="18" t="n">
        <v>0.693553240740741</v>
      </c>
      <c r="F144" s="17" t="n">
        <v>1314</v>
      </c>
      <c r="G144" s="17" t="s">
        <v>207</v>
      </c>
      <c r="H144" s="17" t="s">
        <v>208</v>
      </c>
      <c r="I144" s="17" t="s">
        <v>209</v>
      </c>
      <c r="J144" s="17" t="s">
        <v>210</v>
      </c>
      <c r="K144" s="17" t="n">
        <v>37</v>
      </c>
      <c r="L144" s="17" t="s">
        <v>31</v>
      </c>
      <c r="M144" s="17" t="s">
        <v>32</v>
      </c>
      <c r="N144" s="19" t="n">
        <v>4.5</v>
      </c>
      <c r="O144" s="19" t="n">
        <v>166.5</v>
      </c>
      <c r="P144" s="17" t="s">
        <v>33</v>
      </c>
      <c r="Q144" s="20" t="n">
        <f aca="false">DATE(D144,C144,B144)</f>
        <v>44541</v>
      </c>
      <c r="R144" s="17" t="str">
        <f aca="false">IF(HOUR(E144)&lt;6,"Madrugada (0-5 h)",IF(HOUR(E144)&lt;12,"Mañana (6-11 h)",IF(HOUR(E144)&lt;18,"Tarde (12-17 h)","Noche (18-23 h)")))</f>
        <v>Tarde (12-17 h)</v>
      </c>
    </row>
    <row r="145" customFormat="false" ht="15" hidden="false" customHeight="false" outlineLevel="0" collapsed="false">
      <c r="A145" s="17" t="n">
        <v>1144</v>
      </c>
      <c r="B145" s="17" t="n">
        <v>5</v>
      </c>
      <c r="C145" s="17" t="n">
        <v>6</v>
      </c>
      <c r="D145" s="17" t="n">
        <v>2022</v>
      </c>
      <c r="E145" s="18" t="n">
        <v>0.105173611111111</v>
      </c>
      <c r="F145" s="17" t="n">
        <v>3620</v>
      </c>
      <c r="G145" s="17" t="s">
        <v>211</v>
      </c>
      <c r="H145" s="17" t="s">
        <v>212</v>
      </c>
      <c r="I145" s="17" t="s">
        <v>213</v>
      </c>
      <c r="J145" s="17" t="s">
        <v>214</v>
      </c>
      <c r="K145" s="17" t="n">
        <v>30</v>
      </c>
      <c r="L145" s="17" t="s">
        <v>31</v>
      </c>
      <c r="M145" s="17" t="s">
        <v>32</v>
      </c>
      <c r="N145" s="19" t="n">
        <v>8.98</v>
      </c>
      <c r="O145" s="19" t="n">
        <v>269.4</v>
      </c>
      <c r="P145" s="17" t="s">
        <v>33</v>
      </c>
      <c r="Q145" s="20" t="n">
        <f aca="false">DATE(D145,C145,B145)</f>
        <v>44717</v>
      </c>
      <c r="R145" s="17" t="str">
        <f aca="false">IF(HOUR(E145)&lt;6,"Madrugada (0-5 h)",IF(HOUR(E145)&lt;12,"Mañana (6-11 h)",IF(HOUR(E145)&lt;18,"Tarde (12-17 h)","Noche (18-23 h)")))</f>
        <v>Madrugada (0-5 h)</v>
      </c>
    </row>
    <row r="146" customFormat="false" ht="15" hidden="false" customHeight="false" outlineLevel="0" collapsed="false">
      <c r="A146" s="17" t="n">
        <v>1145</v>
      </c>
      <c r="B146" s="17" t="n">
        <v>14</v>
      </c>
      <c r="C146" s="17" t="n">
        <v>3</v>
      </c>
      <c r="D146" s="17" t="n">
        <v>2022</v>
      </c>
      <c r="E146" s="18" t="n">
        <v>0.987407407407407</v>
      </c>
      <c r="F146" s="17" t="n">
        <v>4829</v>
      </c>
      <c r="G146" s="17" t="s">
        <v>215</v>
      </c>
      <c r="H146" s="17" t="s">
        <v>197</v>
      </c>
      <c r="I146" s="17" t="s">
        <v>198</v>
      </c>
      <c r="J146" s="17" t="s">
        <v>199</v>
      </c>
      <c r="K146" s="17" t="n">
        <v>14</v>
      </c>
      <c r="L146" s="17" t="s">
        <v>31</v>
      </c>
      <c r="M146" s="17" t="s">
        <v>32</v>
      </c>
      <c r="N146" s="19" t="n">
        <v>5.87</v>
      </c>
      <c r="O146" s="19" t="n">
        <v>82.18</v>
      </c>
      <c r="P146" s="17" t="s">
        <v>33</v>
      </c>
      <c r="Q146" s="20" t="n">
        <f aca="false">DATE(D146,C146,B146)</f>
        <v>44634</v>
      </c>
      <c r="R146" s="17" t="str">
        <f aca="false">IF(HOUR(E146)&lt;6,"Madrugada (0-5 h)",IF(HOUR(E146)&lt;12,"Mañana (6-11 h)",IF(HOUR(E146)&lt;18,"Tarde (12-17 h)","Noche (18-23 h)")))</f>
        <v>Noche (18-23 h)</v>
      </c>
    </row>
    <row r="147" customFormat="false" ht="15" hidden="false" customHeight="false" outlineLevel="0" collapsed="false">
      <c r="A147" s="17" t="n">
        <v>1146</v>
      </c>
      <c r="B147" s="17" t="n">
        <v>12</v>
      </c>
      <c r="C147" s="17" t="n">
        <v>7</v>
      </c>
      <c r="D147" s="17" t="n">
        <v>2022</v>
      </c>
      <c r="E147" s="18" t="n">
        <v>0.860590277777778</v>
      </c>
      <c r="F147" s="17" t="n">
        <v>2758</v>
      </c>
      <c r="G147" s="17" t="s">
        <v>216</v>
      </c>
      <c r="H147" s="17" t="s">
        <v>217</v>
      </c>
      <c r="I147" s="17" t="s">
        <v>218</v>
      </c>
      <c r="J147" s="17" t="s">
        <v>219</v>
      </c>
      <c r="K147" s="17" t="n">
        <v>11</v>
      </c>
      <c r="L147" s="17" t="s">
        <v>98</v>
      </c>
      <c r="M147" s="17" t="s">
        <v>62</v>
      </c>
      <c r="N147" s="19" t="n">
        <v>2.31</v>
      </c>
      <c r="O147" s="19" t="n">
        <v>25.41</v>
      </c>
      <c r="P147" s="17" t="s">
        <v>33</v>
      </c>
      <c r="Q147" s="20" t="n">
        <f aca="false">DATE(D147,C147,B147)</f>
        <v>44754</v>
      </c>
      <c r="R147" s="17" t="str">
        <f aca="false">IF(HOUR(E147)&lt;6,"Madrugada (0-5 h)",IF(HOUR(E147)&lt;12,"Mañana (6-11 h)",IF(HOUR(E147)&lt;18,"Tarde (12-17 h)","Noche (18-23 h)")))</f>
        <v>Noche (18-23 h)</v>
      </c>
    </row>
    <row r="148" customFormat="false" ht="15" hidden="false" customHeight="false" outlineLevel="0" collapsed="false">
      <c r="A148" s="17" t="n">
        <v>1147</v>
      </c>
      <c r="B148" s="17" t="n">
        <v>1</v>
      </c>
      <c r="C148" s="17" t="n">
        <v>1</v>
      </c>
      <c r="D148" s="17" t="n">
        <v>2021</v>
      </c>
      <c r="E148" s="18" t="n">
        <v>0.109409722222222</v>
      </c>
      <c r="F148" s="17" t="n">
        <v>1012</v>
      </c>
      <c r="G148" s="17" t="s">
        <v>220</v>
      </c>
      <c r="H148" s="17" t="s">
        <v>221</v>
      </c>
      <c r="I148" s="17" t="s">
        <v>222</v>
      </c>
      <c r="J148" s="17" t="s">
        <v>223</v>
      </c>
      <c r="K148" s="17" t="n">
        <v>28</v>
      </c>
      <c r="L148" s="17" t="s">
        <v>31</v>
      </c>
      <c r="M148" s="17" t="s">
        <v>32</v>
      </c>
      <c r="N148" s="19" t="n">
        <v>6.53</v>
      </c>
      <c r="O148" s="19" t="n">
        <v>182.84</v>
      </c>
      <c r="P148" s="17" t="s">
        <v>33</v>
      </c>
      <c r="Q148" s="20" t="n">
        <f aca="false">DATE(D148,C148,B148)</f>
        <v>44197</v>
      </c>
      <c r="R148" s="17" t="str">
        <f aca="false">IF(HOUR(E148)&lt;6,"Madrugada (0-5 h)",IF(HOUR(E148)&lt;12,"Mañana (6-11 h)",IF(HOUR(E148)&lt;18,"Tarde (12-17 h)","Noche (18-23 h)")))</f>
        <v>Madrugada (0-5 h)</v>
      </c>
    </row>
    <row r="149" customFormat="false" ht="15" hidden="false" customHeight="false" outlineLevel="0" collapsed="false">
      <c r="A149" s="17" t="n">
        <v>1148</v>
      </c>
      <c r="B149" s="17" t="n">
        <v>16</v>
      </c>
      <c r="C149" s="17" t="n">
        <v>8</v>
      </c>
      <c r="D149" s="17" t="n">
        <v>2021</v>
      </c>
      <c r="E149" s="18" t="n">
        <v>0.827523148148148</v>
      </c>
      <c r="F149" s="17" t="n">
        <v>4903</v>
      </c>
      <c r="G149" s="17" t="s">
        <v>224</v>
      </c>
      <c r="H149" s="17" t="s">
        <v>225</v>
      </c>
      <c r="I149" s="17" t="s">
        <v>222</v>
      </c>
      <c r="J149" s="17" t="s">
        <v>223</v>
      </c>
      <c r="K149" s="17" t="n">
        <v>20</v>
      </c>
      <c r="L149" s="17" t="s">
        <v>31</v>
      </c>
      <c r="M149" s="17" t="s">
        <v>32</v>
      </c>
      <c r="N149" s="19" t="n">
        <v>2.45</v>
      </c>
      <c r="O149" s="19" t="n">
        <v>49</v>
      </c>
      <c r="P149" s="17" t="s">
        <v>33</v>
      </c>
      <c r="Q149" s="20" t="n">
        <f aca="false">DATE(D149,C149,B149)</f>
        <v>44424</v>
      </c>
      <c r="R149" s="17" t="str">
        <f aca="false">IF(HOUR(E149)&lt;6,"Madrugada (0-5 h)",IF(HOUR(E149)&lt;12,"Mañana (6-11 h)",IF(HOUR(E149)&lt;18,"Tarde (12-17 h)","Noche (18-23 h)")))</f>
        <v>Noche (18-23 h)</v>
      </c>
    </row>
    <row r="150" customFormat="false" ht="15" hidden="false" customHeight="false" outlineLevel="0" collapsed="false">
      <c r="A150" s="17" t="n">
        <v>1149</v>
      </c>
      <c r="B150" s="17" t="n">
        <v>24</v>
      </c>
      <c r="C150" s="17" t="n">
        <v>11</v>
      </c>
      <c r="D150" s="17" t="n">
        <v>2021</v>
      </c>
      <c r="E150" s="18" t="n">
        <v>0.288217592592593</v>
      </c>
      <c r="F150" s="17" t="n">
        <v>3456</v>
      </c>
      <c r="G150" s="17" t="s">
        <v>226</v>
      </c>
      <c r="H150" s="17" t="s">
        <v>227</v>
      </c>
      <c r="I150" s="17" t="s">
        <v>228</v>
      </c>
      <c r="J150" s="17" t="s">
        <v>229</v>
      </c>
      <c r="K150" s="17" t="n">
        <v>49</v>
      </c>
      <c r="L150" s="17" t="s">
        <v>125</v>
      </c>
      <c r="M150" s="17" t="s">
        <v>76</v>
      </c>
      <c r="N150" s="19" t="n">
        <v>3.03</v>
      </c>
      <c r="O150" s="19" t="n">
        <v>148.47</v>
      </c>
      <c r="P150" s="17" t="s">
        <v>33</v>
      </c>
      <c r="Q150" s="20" t="n">
        <f aca="false">DATE(D150,C150,B150)</f>
        <v>44524</v>
      </c>
      <c r="R150" s="17" t="str">
        <f aca="false">IF(HOUR(E150)&lt;6,"Madrugada (0-5 h)",IF(HOUR(E150)&lt;12,"Mañana (6-11 h)",IF(HOUR(E150)&lt;18,"Tarde (12-17 h)","Noche (18-23 h)")))</f>
        <v>Mañana (6-11 h)</v>
      </c>
    </row>
    <row r="151" customFormat="false" ht="15" hidden="false" customHeight="false" outlineLevel="0" collapsed="false">
      <c r="A151" s="17" t="n">
        <v>1150</v>
      </c>
      <c r="B151" s="17" t="n">
        <v>18</v>
      </c>
      <c r="C151" s="17" t="n">
        <v>11</v>
      </c>
      <c r="D151" s="17" t="n">
        <v>2021</v>
      </c>
      <c r="E151" s="18" t="n">
        <v>0.150196759259259</v>
      </c>
      <c r="F151" s="17" t="n">
        <v>1138</v>
      </c>
      <c r="G151" s="17" t="s">
        <v>230</v>
      </c>
      <c r="H151" s="17" t="s">
        <v>231</v>
      </c>
      <c r="I151" s="17" t="s">
        <v>232</v>
      </c>
      <c r="J151" s="17" t="s">
        <v>233</v>
      </c>
      <c r="K151" s="17" t="n">
        <v>26</v>
      </c>
      <c r="L151" s="17" t="s">
        <v>81</v>
      </c>
      <c r="M151" s="17" t="s">
        <v>76</v>
      </c>
      <c r="N151" s="19" t="n">
        <v>5.42</v>
      </c>
      <c r="O151" s="19" t="n">
        <v>140.92</v>
      </c>
      <c r="P151" s="17" t="s">
        <v>33</v>
      </c>
      <c r="Q151" s="20" t="n">
        <f aca="false">DATE(D151,C151,B151)</f>
        <v>44518</v>
      </c>
      <c r="R151" s="17" t="str">
        <f aca="false">IF(HOUR(E151)&lt;6,"Madrugada (0-5 h)",IF(HOUR(E151)&lt;12,"Mañana (6-11 h)",IF(HOUR(E151)&lt;18,"Tarde (12-17 h)","Noche (18-23 h)")))</f>
        <v>Madrugada (0-5 h)</v>
      </c>
    </row>
    <row r="152" customFormat="false" ht="15" hidden="false" customHeight="false" outlineLevel="0" collapsed="false">
      <c r="A152" s="17" t="n">
        <v>1151</v>
      </c>
      <c r="B152" s="17" t="n">
        <v>7</v>
      </c>
      <c r="C152" s="17" t="n">
        <v>9</v>
      </c>
      <c r="D152" s="17" t="n">
        <v>2021</v>
      </c>
      <c r="E152" s="18" t="n">
        <v>0.498726851851852</v>
      </c>
      <c r="F152" s="17" t="n">
        <v>2478</v>
      </c>
      <c r="G152" s="17" t="s">
        <v>234</v>
      </c>
      <c r="H152" s="17" t="s">
        <v>235</v>
      </c>
      <c r="I152" s="17" t="s">
        <v>236</v>
      </c>
      <c r="J152" s="17" t="s">
        <v>237</v>
      </c>
      <c r="K152" s="17" t="n">
        <v>11</v>
      </c>
      <c r="L152" s="17" t="s">
        <v>81</v>
      </c>
      <c r="M152" s="17" t="s">
        <v>82</v>
      </c>
      <c r="N152" s="19" t="n">
        <v>25.45</v>
      </c>
      <c r="O152" s="19" t="n">
        <v>279.95</v>
      </c>
      <c r="P152" s="17" t="s">
        <v>33</v>
      </c>
      <c r="Q152" s="20" t="n">
        <f aca="false">DATE(D152,C152,B152)</f>
        <v>44446</v>
      </c>
      <c r="R152" s="17" t="str">
        <f aca="false">IF(HOUR(E152)&lt;6,"Madrugada (0-5 h)",IF(HOUR(E152)&lt;12,"Mañana (6-11 h)",IF(HOUR(E152)&lt;18,"Tarde (12-17 h)","Noche (18-23 h)")))</f>
        <v>Mañana (6-11 h)</v>
      </c>
    </row>
    <row r="153" customFormat="false" ht="15" hidden="false" customHeight="false" outlineLevel="0" collapsed="false">
      <c r="A153" s="17" t="n">
        <v>1152</v>
      </c>
      <c r="B153" s="17" t="n">
        <v>26</v>
      </c>
      <c r="C153" s="17" t="n">
        <v>8</v>
      </c>
      <c r="D153" s="17" t="n">
        <v>2021</v>
      </c>
      <c r="E153" s="18" t="n">
        <v>0.524421296296296</v>
      </c>
      <c r="F153" s="17" t="n">
        <v>3343</v>
      </c>
      <c r="G153" s="17" t="s">
        <v>238</v>
      </c>
      <c r="H153" s="17" t="s">
        <v>239</v>
      </c>
      <c r="I153" s="17" t="s">
        <v>240</v>
      </c>
      <c r="J153" s="17" t="s">
        <v>241</v>
      </c>
      <c r="K153" s="17" t="n">
        <v>9</v>
      </c>
      <c r="L153" s="17" t="s">
        <v>81</v>
      </c>
      <c r="M153" s="17" t="s">
        <v>82</v>
      </c>
      <c r="N153" s="19" t="n">
        <v>18.05</v>
      </c>
      <c r="O153" s="19" t="n">
        <v>162.45</v>
      </c>
      <c r="P153" s="17" t="s">
        <v>33</v>
      </c>
      <c r="Q153" s="20" t="n">
        <f aca="false">DATE(D153,C153,B153)</f>
        <v>44434</v>
      </c>
      <c r="R153" s="17" t="str">
        <f aca="false">IF(HOUR(E153)&lt;6,"Madrugada (0-5 h)",IF(HOUR(E153)&lt;12,"Mañana (6-11 h)",IF(HOUR(E153)&lt;18,"Tarde (12-17 h)","Noche (18-23 h)")))</f>
        <v>Tarde (12-17 h)</v>
      </c>
    </row>
    <row r="154" customFormat="false" ht="15" hidden="false" customHeight="false" outlineLevel="0" collapsed="false">
      <c r="A154" s="17" t="n">
        <v>1153</v>
      </c>
      <c r="B154" s="17" t="n">
        <v>17</v>
      </c>
      <c r="C154" s="17" t="n">
        <v>6</v>
      </c>
      <c r="D154" s="17" t="n">
        <v>2022</v>
      </c>
      <c r="E154" s="18" t="n">
        <v>0.235960648148148</v>
      </c>
      <c r="F154" s="17" t="n">
        <v>2656</v>
      </c>
      <c r="G154" s="17" t="s">
        <v>242</v>
      </c>
      <c r="H154" s="17" t="s">
        <v>243</v>
      </c>
      <c r="I154" s="17" t="s">
        <v>244</v>
      </c>
      <c r="J154" s="17" t="s">
        <v>245</v>
      </c>
      <c r="K154" s="17" t="n">
        <v>44</v>
      </c>
      <c r="L154" s="17" t="s">
        <v>81</v>
      </c>
      <c r="M154" s="17" t="s">
        <v>76</v>
      </c>
      <c r="N154" s="19" t="n">
        <v>5.38</v>
      </c>
      <c r="O154" s="19" t="n">
        <v>236.72</v>
      </c>
      <c r="P154" s="17" t="s">
        <v>33</v>
      </c>
      <c r="Q154" s="20" t="n">
        <f aca="false">DATE(D154,C154,B154)</f>
        <v>44729</v>
      </c>
      <c r="R154" s="17" t="str">
        <f aca="false">IF(HOUR(E154)&lt;6,"Madrugada (0-5 h)",IF(HOUR(E154)&lt;12,"Mañana (6-11 h)",IF(HOUR(E154)&lt;18,"Tarde (12-17 h)","Noche (18-23 h)")))</f>
        <v>Madrugada (0-5 h)</v>
      </c>
    </row>
    <row r="155" customFormat="false" ht="15" hidden="false" customHeight="false" outlineLevel="0" collapsed="false">
      <c r="A155" s="17" t="n">
        <v>1154</v>
      </c>
      <c r="B155" s="17" t="n">
        <v>5</v>
      </c>
      <c r="C155" s="17" t="n">
        <v>8</v>
      </c>
      <c r="D155" s="17" t="n">
        <v>2021</v>
      </c>
      <c r="E155" s="18" t="n">
        <v>0.12619212962963</v>
      </c>
      <c r="F155" s="17" t="n">
        <v>3507</v>
      </c>
      <c r="G155" s="17" t="s">
        <v>246</v>
      </c>
      <c r="H155" s="17" t="s">
        <v>415</v>
      </c>
      <c r="I155" s="17" t="s">
        <v>244</v>
      </c>
      <c r="J155" s="17" t="s">
        <v>248</v>
      </c>
      <c r="K155" s="17" t="n">
        <v>39</v>
      </c>
      <c r="L155" s="17" t="s">
        <v>81</v>
      </c>
      <c r="M155" s="17" t="s">
        <v>76</v>
      </c>
      <c r="N155" s="19" t="n">
        <v>9.89</v>
      </c>
      <c r="O155" s="19" t="n">
        <v>385.71</v>
      </c>
      <c r="P155" s="17" t="s">
        <v>33</v>
      </c>
      <c r="Q155" s="20" t="n">
        <f aca="false">DATE(D155,C155,B155)</f>
        <v>44413</v>
      </c>
      <c r="R155" s="17" t="str">
        <f aca="false">IF(HOUR(E155)&lt;6,"Madrugada (0-5 h)",IF(HOUR(E155)&lt;12,"Mañana (6-11 h)",IF(HOUR(E155)&lt;18,"Tarde (12-17 h)","Noche (18-23 h)")))</f>
        <v>Madrugada (0-5 h)</v>
      </c>
    </row>
    <row r="156" customFormat="false" ht="15" hidden="false" customHeight="false" outlineLevel="0" collapsed="false">
      <c r="A156" s="17" t="n">
        <v>1155</v>
      </c>
      <c r="B156" s="17" t="n">
        <v>6</v>
      </c>
      <c r="C156" s="17" t="n">
        <v>3</v>
      </c>
      <c r="D156" s="17" t="n">
        <v>2022</v>
      </c>
      <c r="E156" s="18" t="n">
        <v>0.283263888888889</v>
      </c>
      <c r="F156" s="17" t="n">
        <v>3788</v>
      </c>
      <c r="G156" s="17" t="s">
        <v>249</v>
      </c>
      <c r="H156" s="17" t="s">
        <v>250</v>
      </c>
      <c r="I156" s="17" t="s">
        <v>251</v>
      </c>
      <c r="J156" s="17" t="s">
        <v>252</v>
      </c>
      <c r="K156" s="17" t="n">
        <v>45</v>
      </c>
      <c r="L156" s="17" t="s">
        <v>125</v>
      </c>
      <c r="M156" s="17" t="s">
        <v>82</v>
      </c>
      <c r="N156" s="19" t="n">
        <v>25.45</v>
      </c>
      <c r="O156" s="19" t="n">
        <v>1145.25</v>
      </c>
      <c r="P156" s="17" t="s">
        <v>33</v>
      </c>
      <c r="Q156" s="20" t="n">
        <f aca="false">DATE(D156,C156,B156)</f>
        <v>44626</v>
      </c>
      <c r="R156" s="17" t="str">
        <f aca="false">IF(HOUR(E156)&lt;6,"Madrugada (0-5 h)",IF(HOUR(E156)&lt;12,"Mañana (6-11 h)",IF(HOUR(E156)&lt;18,"Tarde (12-17 h)","Noche (18-23 h)")))</f>
        <v>Mañana (6-11 h)</v>
      </c>
    </row>
    <row r="157" customFormat="false" ht="15" hidden="false" customHeight="false" outlineLevel="0" collapsed="false">
      <c r="A157" s="17" t="n">
        <v>1156</v>
      </c>
      <c r="B157" s="17" t="n">
        <v>7</v>
      </c>
      <c r="C157" s="17" t="n">
        <v>3</v>
      </c>
      <c r="D157" s="17" t="n">
        <v>2021</v>
      </c>
      <c r="E157" s="18" t="n">
        <v>0.352696759259259</v>
      </c>
      <c r="F157" s="17" t="n">
        <v>2288</v>
      </c>
      <c r="G157" s="17" t="s">
        <v>253</v>
      </c>
      <c r="H157" s="17" t="s">
        <v>250</v>
      </c>
      <c r="I157" s="17" t="s">
        <v>254</v>
      </c>
      <c r="J157" s="17" t="s">
        <v>255</v>
      </c>
      <c r="K157" s="17" t="n">
        <v>40</v>
      </c>
      <c r="L157" s="17" t="s">
        <v>125</v>
      </c>
      <c r="M157" s="17" t="s">
        <v>82</v>
      </c>
      <c r="N157" s="19" t="n">
        <v>16.34</v>
      </c>
      <c r="O157" s="19" t="n">
        <v>653.6</v>
      </c>
      <c r="P157" s="17" t="s">
        <v>33</v>
      </c>
      <c r="Q157" s="20" t="n">
        <f aca="false">DATE(D157,C157,B157)</f>
        <v>44262</v>
      </c>
      <c r="R157" s="17" t="str">
        <f aca="false">IF(HOUR(E157)&lt;6,"Madrugada (0-5 h)",IF(HOUR(E157)&lt;12,"Mañana (6-11 h)",IF(HOUR(E157)&lt;18,"Tarde (12-17 h)","Noche (18-23 h)")))</f>
        <v>Mañana (6-11 h)</v>
      </c>
    </row>
    <row r="158" customFormat="false" ht="15" hidden="false" customHeight="false" outlineLevel="0" collapsed="false">
      <c r="A158" s="17" t="n">
        <v>1157</v>
      </c>
      <c r="B158" s="17" t="n">
        <v>2</v>
      </c>
      <c r="C158" s="17" t="n">
        <v>12</v>
      </c>
      <c r="D158" s="17" t="n">
        <v>2022</v>
      </c>
      <c r="E158" s="18" t="n">
        <v>0.677337962962963</v>
      </c>
      <c r="F158" s="17" t="n">
        <v>2191</v>
      </c>
      <c r="G158" s="17" t="s">
        <v>256</v>
      </c>
      <c r="H158" s="17" t="s">
        <v>257</v>
      </c>
      <c r="I158" s="17" t="s">
        <v>258</v>
      </c>
      <c r="J158" s="17" t="s">
        <v>259</v>
      </c>
      <c r="K158" s="17" t="n">
        <v>7</v>
      </c>
      <c r="L158" s="17" t="s">
        <v>125</v>
      </c>
      <c r="M158" s="17" t="s">
        <v>82</v>
      </c>
      <c r="N158" s="19" t="n">
        <v>13.32</v>
      </c>
      <c r="O158" s="19" t="n">
        <v>93.24</v>
      </c>
      <c r="P158" s="17" t="s">
        <v>33</v>
      </c>
      <c r="Q158" s="20" t="n">
        <f aca="false">DATE(D158,C158,B158)</f>
        <v>44897</v>
      </c>
      <c r="R158" s="17" t="str">
        <f aca="false">IF(HOUR(E158)&lt;6,"Madrugada (0-5 h)",IF(HOUR(E158)&lt;12,"Mañana (6-11 h)",IF(HOUR(E158)&lt;18,"Tarde (12-17 h)","Noche (18-23 h)")))</f>
        <v>Tarde (12-17 h)</v>
      </c>
    </row>
    <row r="159" customFormat="false" ht="15" hidden="false" customHeight="false" outlineLevel="0" collapsed="false">
      <c r="A159" s="17" t="n">
        <v>1158</v>
      </c>
      <c r="B159" s="17" t="n">
        <v>15</v>
      </c>
      <c r="C159" s="17" t="n">
        <v>6</v>
      </c>
      <c r="D159" s="17" t="n">
        <v>2021</v>
      </c>
      <c r="E159" s="18" t="n">
        <v>0.487743055555556</v>
      </c>
      <c r="F159" s="17" t="n">
        <v>2871</v>
      </c>
      <c r="G159" s="17" t="s">
        <v>260</v>
      </c>
      <c r="H159" s="17" t="s">
        <v>261</v>
      </c>
      <c r="I159" s="17" t="s">
        <v>262</v>
      </c>
      <c r="J159" s="17" t="s">
        <v>263</v>
      </c>
      <c r="K159" s="17" t="n">
        <v>6</v>
      </c>
      <c r="L159" s="17" t="s">
        <v>125</v>
      </c>
      <c r="M159" s="17" t="s">
        <v>82</v>
      </c>
      <c r="N159" s="19" t="n">
        <v>10.1</v>
      </c>
      <c r="O159" s="19" t="n">
        <v>60.6</v>
      </c>
      <c r="P159" s="17" t="s">
        <v>33</v>
      </c>
      <c r="Q159" s="20" t="n">
        <f aca="false">DATE(D159,C159,B159)</f>
        <v>44362</v>
      </c>
      <c r="R159" s="17" t="str">
        <f aca="false">IF(HOUR(E159)&lt;6,"Madrugada (0-5 h)",IF(HOUR(E159)&lt;12,"Mañana (6-11 h)",IF(HOUR(E159)&lt;18,"Tarde (12-17 h)","Noche (18-23 h)")))</f>
        <v>Mañana (6-11 h)</v>
      </c>
    </row>
    <row r="160" customFormat="false" ht="15" hidden="false" customHeight="false" outlineLevel="0" collapsed="false">
      <c r="A160" s="17" t="n">
        <v>1159</v>
      </c>
      <c r="B160" s="17" t="n">
        <v>27</v>
      </c>
      <c r="C160" s="17" t="n">
        <v>9</v>
      </c>
      <c r="D160" s="17" t="n">
        <v>2022</v>
      </c>
      <c r="E160" s="18" t="n">
        <v>0.622268518518519</v>
      </c>
      <c r="F160" s="17" t="n">
        <v>2265</v>
      </c>
      <c r="G160" s="17" t="s">
        <v>264</v>
      </c>
      <c r="H160" s="17" t="s">
        <v>416</v>
      </c>
      <c r="I160" s="17" t="s">
        <v>266</v>
      </c>
      <c r="J160" s="17" t="s">
        <v>129</v>
      </c>
      <c r="K160" s="17" t="n">
        <v>14</v>
      </c>
      <c r="L160" s="17" t="s">
        <v>61</v>
      </c>
      <c r="M160" s="17" t="s">
        <v>32</v>
      </c>
      <c r="N160" s="19" t="n">
        <v>4.56</v>
      </c>
      <c r="O160" s="19" t="n">
        <v>63.84</v>
      </c>
      <c r="P160" s="17" t="s">
        <v>33</v>
      </c>
      <c r="Q160" s="20" t="n">
        <f aca="false">DATE(D160,C160,B160)</f>
        <v>44831</v>
      </c>
      <c r="R160" s="17" t="str">
        <f aca="false">IF(HOUR(E160)&lt;6,"Madrugada (0-5 h)",IF(HOUR(E160)&lt;12,"Mañana (6-11 h)",IF(HOUR(E160)&lt;18,"Tarde (12-17 h)","Noche (18-23 h)")))</f>
        <v>Tarde (12-17 h)</v>
      </c>
    </row>
    <row r="161" customFormat="false" ht="15" hidden="false" customHeight="false" outlineLevel="0" collapsed="false">
      <c r="A161" s="17" t="n">
        <v>1160</v>
      </c>
      <c r="B161" s="17" t="n">
        <v>22</v>
      </c>
      <c r="C161" s="17" t="n">
        <v>5</v>
      </c>
      <c r="D161" s="17" t="n">
        <v>2021</v>
      </c>
      <c r="E161" s="18" t="n">
        <v>0.2278125</v>
      </c>
      <c r="F161" s="17" t="n">
        <v>3168</v>
      </c>
      <c r="G161" s="17" t="s">
        <v>267</v>
      </c>
      <c r="H161" s="17" t="s">
        <v>267</v>
      </c>
      <c r="I161" s="17" t="s">
        <v>93</v>
      </c>
      <c r="J161" s="17" t="s">
        <v>268</v>
      </c>
      <c r="K161" s="17" t="n">
        <v>16</v>
      </c>
      <c r="L161" s="17" t="s">
        <v>61</v>
      </c>
      <c r="M161" s="17" t="s">
        <v>32</v>
      </c>
      <c r="N161" s="19" t="n">
        <v>5.56</v>
      </c>
      <c r="O161" s="19" t="n">
        <v>88.96</v>
      </c>
      <c r="P161" s="17" t="s">
        <v>33</v>
      </c>
      <c r="Q161" s="20" t="n">
        <f aca="false">DATE(D161,C161,B161)</f>
        <v>44338</v>
      </c>
      <c r="R161" s="17" t="str">
        <f aca="false">IF(HOUR(E161)&lt;6,"Madrugada (0-5 h)",IF(HOUR(E161)&lt;12,"Mañana (6-11 h)",IF(HOUR(E161)&lt;18,"Tarde (12-17 h)","Noche (18-23 h)")))</f>
        <v>Madrugada (0-5 h)</v>
      </c>
    </row>
    <row r="162" customFormat="false" ht="15" hidden="false" customHeight="false" outlineLevel="0" collapsed="false">
      <c r="A162" s="17" t="n">
        <v>1161</v>
      </c>
      <c r="B162" s="17" t="n">
        <v>1</v>
      </c>
      <c r="C162" s="17" t="n">
        <v>7</v>
      </c>
      <c r="D162" s="17" t="n">
        <v>2021</v>
      </c>
      <c r="E162" s="18" t="n">
        <v>0.517592592592593</v>
      </c>
      <c r="F162" s="17" t="n">
        <v>4532</v>
      </c>
      <c r="G162" s="17" t="s">
        <v>269</v>
      </c>
      <c r="H162" s="17" t="s">
        <v>270</v>
      </c>
      <c r="I162" s="17" t="s">
        <v>271</v>
      </c>
      <c r="J162" s="17" t="s">
        <v>272</v>
      </c>
      <c r="K162" s="17" t="n">
        <v>14</v>
      </c>
      <c r="L162" s="17" t="s">
        <v>61</v>
      </c>
      <c r="M162" s="17" t="s">
        <v>32</v>
      </c>
      <c r="N162" s="19" t="n">
        <v>3.43</v>
      </c>
      <c r="O162" s="19" t="n">
        <v>48.02</v>
      </c>
      <c r="P162" s="17" t="s">
        <v>33</v>
      </c>
      <c r="Q162" s="20" t="n">
        <f aca="false">DATE(D162,C162,B162)</f>
        <v>44378</v>
      </c>
      <c r="R162" s="17" t="str">
        <f aca="false">IF(HOUR(E162)&lt;6,"Madrugada (0-5 h)",IF(HOUR(E162)&lt;12,"Mañana (6-11 h)",IF(HOUR(E162)&lt;18,"Tarde (12-17 h)","Noche (18-23 h)")))</f>
        <v>Tarde (12-17 h)</v>
      </c>
    </row>
    <row r="163" customFormat="false" ht="15" hidden="false" customHeight="false" outlineLevel="0" collapsed="false">
      <c r="A163" s="17" t="n">
        <v>1162</v>
      </c>
      <c r="B163" s="17" t="n">
        <v>8</v>
      </c>
      <c r="C163" s="17" t="n">
        <v>5</v>
      </c>
      <c r="D163" s="17" t="n">
        <v>2022</v>
      </c>
      <c r="E163" s="18" t="n">
        <v>0.707407407407407</v>
      </c>
      <c r="F163" s="17" t="n">
        <v>2484</v>
      </c>
      <c r="G163" s="17" t="s">
        <v>273</v>
      </c>
      <c r="H163" s="17" t="s">
        <v>274</v>
      </c>
      <c r="I163" s="17" t="s">
        <v>275</v>
      </c>
      <c r="J163" s="17" t="s">
        <v>276</v>
      </c>
      <c r="K163" s="17" t="n">
        <v>1</v>
      </c>
      <c r="L163" s="17" t="s">
        <v>31</v>
      </c>
      <c r="M163" s="17" t="s">
        <v>32</v>
      </c>
      <c r="N163" s="19" t="n">
        <v>15.02</v>
      </c>
      <c r="O163" s="19" t="n">
        <v>15.02</v>
      </c>
      <c r="P163" s="17" t="s">
        <v>33</v>
      </c>
      <c r="Q163" s="20" t="n">
        <f aca="false">DATE(D163,C163,B163)</f>
        <v>44689</v>
      </c>
      <c r="R163" s="17" t="str">
        <f aca="false">IF(HOUR(E163)&lt;6,"Madrugada (0-5 h)",IF(HOUR(E163)&lt;12,"Mañana (6-11 h)",IF(HOUR(E163)&lt;18,"Tarde (12-17 h)","Noche (18-23 h)")))</f>
        <v>Tarde (12-17 h)</v>
      </c>
    </row>
    <row r="164" customFormat="false" ht="15" hidden="false" customHeight="false" outlineLevel="0" collapsed="false">
      <c r="A164" s="17" t="n">
        <v>1163</v>
      </c>
      <c r="B164" s="17" t="n">
        <v>1</v>
      </c>
      <c r="C164" s="17" t="n">
        <v>11</v>
      </c>
      <c r="D164" s="17" t="n">
        <v>2021</v>
      </c>
      <c r="E164" s="18" t="n">
        <v>0.194537037037037</v>
      </c>
      <c r="F164" s="17" t="n">
        <v>3769</v>
      </c>
      <c r="G164" s="17" t="s">
        <v>277</v>
      </c>
      <c r="H164" s="17" t="s">
        <v>278</v>
      </c>
      <c r="I164" s="17" t="s">
        <v>279</v>
      </c>
      <c r="J164" s="17" t="s">
        <v>280</v>
      </c>
      <c r="K164" s="17" t="n">
        <v>7</v>
      </c>
      <c r="L164" s="17" t="s">
        <v>31</v>
      </c>
      <c r="M164" s="17" t="s">
        <v>32</v>
      </c>
      <c r="N164" s="19" t="n">
        <v>2.02</v>
      </c>
      <c r="O164" s="19" t="n">
        <v>14.14</v>
      </c>
      <c r="P164" s="17" t="s">
        <v>33</v>
      </c>
      <c r="Q164" s="20" t="n">
        <f aca="false">DATE(D164,C164,B164)</f>
        <v>44501</v>
      </c>
      <c r="R164" s="17" t="str">
        <f aca="false">IF(HOUR(E164)&lt;6,"Madrugada (0-5 h)",IF(HOUR(E164)&lt;12,"Mañana (6-11 h)",IF(HOUR(E164)&lt;18,"Tarde (12-17 h)","Noche (18-23 h)")))</f>
        <v>Madrugada (0-5 h)</v>
      </c>
    </row>
    <row r="165" customFormat="false" ht="15" hidden="false" customHeight="false" outlineLevel="0" collapsed="false">
      <c r="A165" s="17" t="n">
        <v>1164</v>
      </c>
      <c r="B165" s="17" t="n">
        <v>3</v>
      </c>
      <c r="C165" s="17" t="n">
        <v>1</v>
      </c>
      <c r="D165" s="17" t="n">
        <v>2021</v>
      </c>
      <c r="E165" s="18" t="n">
        <v>0.0144560185185185</v>
      </c>
      <c r="F165" s="17" t="n">
        <v>2633</v>
      </c>
      <c r="G165" s="17" t="s">
        <v>224</v>
      </c>
      <c r="H165" s="17" t="s">
        <v>224</v>
      </c>
      <c r="I165" s="17" t="s">
        <v>281</v>
      </c>
      <c r="J165" s="17" t="s">
        <v>282</v>
      </c>
      <c r="K165" s="17" t="n">
        <v>24</v>
      </c>
      <c r="L165" s="17" t="s">
        <v>31</v>
      </c>
      <c r="M165" s="17" t="s">
        <v>32</v>
      </c>
      <c r="N165" s="19" t="n">
        <v>2.45</v>
      </c>
      <c r="O165" s="19" t="n">
        <v>58.8</v>
      </c>
      <c r="P165" s="17" t="s">
        <v>33</v>
      </c>
      <c r="Q165" s="20" t="n">
        <f aca="false">DATE(D165,C165,B165)</f>
        <v>44199</v>
      </c>
      <c r="R165" s="17" t="str">
        <f aca="false">IF(HOUR(E165)&lt;6,"Madrugada (0-5 h)",IF(HOUR(E165)&lt;12,"Mañana (6-11 h)",IF(HOUR(E165)&lt;18,"Tarde (12-17 h)","Noche (18-23 h)")))</f>
        <v>Madrugada (0-5 h)</v>
      </c>
    </row>
    <row r="166" customFormat="false" ht="15" hidden="false" customHeight="false" outlineLevel="0" collapsed="false">
      <c r="A166" s="17" t="n">
        <v>1165</v>
      </c>
      <c r="B166" s="17" t="n">
        <v>5</v>
      </c>
      <c r="C166" s="17" t="n">
        <v>10</v>
      </c>
      <c r="D166" s="17" t="n">
        <v>2022</v>
      </c>
      <c r="E166" s="18" t="n">
        <v>0.0436574074074074</v>
      </c>
      <c r="F166" s="17" t="n">
        <v>1077</v>
      </c>
      <c r="G166" s="17" t="s">
        <v>220</v>
      </c>
      <c r="H166" s="17" t="s">
        <v>221</v>
      </c>
      <c r="I166" s="17" t="s">
        <v>283</v>
      </c>
      <c r="J166" s="17" t="s">
        <v>284</v>
      </c>
      <c r="K166" s="17" t="n">
        <v>30</v>
      </c>
      <c r="L166" s="17" t="s">
        <v>31</v>
      </c>
      <c r="M166" s="17" t="s">
        <v>32</v>
      </c>
      <c r="N166" s="19" t="n">
        <v>6.53</v>
      </c>
      <c r="O166" s="19" t="n">
        <v>195.9</v>
      </c>
      <c r="P166" s="17" t="s">
        <v>33</v>
      </c>
      <c r="Q166" s="20" t="n">
        <f aca="false">DATE(D166,C166,B166)</f>
        <v>44839</v>
      </c>
      <c r="R166" s="17" t="str">
        <f aca="false">IF(HOUR(E166)&lt;6,"Madrugada (0-5 h)",IF(HOUR(E166)&lt;12,"Mañana (6-11 h)",IF(HOUR(E166)&lt;18,"Tarde (12-17 h)","Noche (18-23 h)")))</f>
        <v>Madrugada (0-5 h)</v>
      </c>
    </row>
    <row r="167" customFormat="false" ht="15" hidden="false" customHeight="false" outlineLevel="0" collapsed="false">
      <c r="A167" s="17" t="n">
        <v>1166</v>
      </c>
      <c r="B167" s="17" t="n">
        <v>15</v>
      </c>
      <c r="C167" s="17" t="n">
        <v>10</v>
      </c>
      <c r="D167" s="17" t="n">
        <v>2021</v>
      </c>
      <c r="E167" s="18" t="n">
        <v>0.93087962962963</v>
      </c>
      <c r="F167" s="17" t="n">
        <v>3595</v>
      </c>
      <c r="G167" s="17" t="s">
        <v>285</v>
      </c>
      <c r="H167" s="17" t="s">
        <v>286</v>
      </c>
      <c r="I167" s="17" t="s">
        <v>287</v>
      </c>
      <c r="J167" s="17" t="s">
        <v>288</v>
      </c>
      <c r="K167" s="17" t="n">
        <v>22</v>
      </c>
      <c r="L167" s="17" t="s">
        <v>31</v>
      </c>
      <c r="M167" s="17" t="s">
        <v>32</v>
      </c>
      <c r="N167" s="19" t="n">
        <v>5.55</v>
      </c>
      <c r="O167" s="19" t="n">
        <v>122.1</v>
      </c>
      <c r="P167" s="17" t="s">
        <v>33</v>
      </c>
      <c r="Q167" s="20" t="n">
        <f aca="false">DATE(D167,C167,B167)</f>
        <v>44484</v>
      </c>
      <c r="R167" s="17" t="str">
        <f aca="false">IF(HOUR(E167)&lt;6,"Madrugada (0-5 h)",IF(HOUR(E167)&lt;12,"Mañana (6-11 h)",IF(HOUR(E167)&lt;18,"Tarde (12-17 h)","Noche (18-23 h)")))</f>
        <v>Noche (18-23 h)</v>
      </c>
    </row>
    <row r="168" customFormat="false" ht="15" hidden="false" customHeight="false" outlineLevel="0" collapsed="false">
      <c r="A168" s="17" t="n">
        <v>1167</v>
      </c>
      <c r="B168" s="17" t="n">
        <v>23</v>
      </c>
      <c r="C168" s="17" t="n">
        <v>9</v>
      </c>
      <c r="D168" s="17" t="n">
        <v>2021</v>
      </c>
      <c r="E168" s="18" t="n">
        <v>0.426076388888889</v>
      </c>
      <c r="F168" s="17" t="n">
        <v>1474</v>
      </c>
      <c r="G168" s="17" t="s">
        <v>91</v>
      </c>
      <c r="H168" s="17" t="s">
        <v>92</v>
      </c>
      <c r="I168" s="17" t="s">
        <v>289</v>
      </c>
      <c r="J168" s="17" t="s">
        <v>290</v>
      </c>
      <c r="K168" s="17" t="n">
        <v>30</v>
      </c>
      <c r="L168" s="17" t="s">
        <v>61</v>
      </c>
      <c r="M168" s="17" t="s">
        <v>32</v>
      </c>
      <c r="N168" s="19" t="n">
        <v>4.12</v>
      </c>
      <c r="O168" s="19" t="n">
        <v>123.6</v>
      </c>
      <c r="P168" s="17" t="s">
        <v>33</v>
      </c>
      <c r="Q168" s="20" t="n">
        <f aca="false">DATE(D168,C168,B168)</f>
        <v>44462</v>
      </c>
      <c r="R168" s="17" t="str">
        <f aca="false">IF(HOUR(E168)&lt;6,"Madrugada (0-5 h)",IF(HOUR(E168)&lt;12,"Mañana (6-11 h)",IF(HOUR(E168)&lt;18,"Tarde (12-17 h)","Noche (18-23 h)")))</f>
        <v>Mañana (6-11 h)</v>
      </c>
    </row>
    <row r="169" customFormat="false" ht="15" hidden="false" customHeight="false" outlineLevel="0" collapsed="false">
      <c r="A169" s="17" t="n">
        <v>1168</v>
      </c>
      <c r="B169" s="17" t="n">
        <v>18</v>
      </c>
      <c r="C169" s="17" t="n">
        <v>5</v>
      </c>
      <c r="D169" s="17" t="n">
        <v>2021</v>
      </c>
      <c r="E169" s="18" t="n">
        <v>0.547476851851852</v>
      </c>
      <c r="F169" s="17" t="n">
        <v>4942</v>
      </c>
      <c r="G169" s="17" t="s">
        <v>291</v>
      </c>
      <c r="H169" s="17" t="s">
        <v>417</v>
      </c>
      <c r="I169" s="17" t="s">
        <v>293</v>
      </c>
      <c r="J169" s="17" t="s">
        <v>294</v>
      </c>
      <c r="K169" s="17" t="n">
        <v>19</v>
      </c>
      <c r="L169" s="17" t="s">
        <v>42</v>
      </c>
      <c r="M169" s="17" t="s">
        <v>32</v>
      </c>
      <c r="N169" s="19" t="n">
        <v>5.76</v>
      </c>
      <c r="O169" s="19" t="n">
        <v>109.44</v>
      </c>
      <c r="P169" s="17" t="s">
        <v>33</v>
      </c>
      <c r="Q169" s="20" t="n">
        <f aca="false">DATE(D169,C169,B169)</f>
        <v>44334</v>
      </c>
      <c r="R169" s="17" t="str">
        <f aca="false">IF(HOUR(E169)&lt;6,"Madrugada (0-5 h)",IF(HOUR(E169)&lt;12,"Mañana (6-11 h)",IF(HOUR(E169)&lt;18,"Tarde (12-17 h)","Noche (18-23 h)")))</f>
        <v>Tarde (12-17 h)</v>
      </c>
    </row>
    <row r="170" customFormat="false" ht="15" hidden="false" customHeight="false" outlineLevel="0" collapsed="false">
      <c r="A170" s="17" t="n">
        <v>1169</v>
      </c>
      <c r="B170" s="17" t="n">
        <v>3</v>
      </c>
      <c r="C170" s="17" t="n">
        <v>11</v>
      </c>
      <c r="D170" s="17" t="n">
        <v>2022</v>
      </c>
      <c r="E170" s="18" t="n">
        <v>0.699027777777778</v>
      </c>
      <c r="F170" s="17" t="n">
        <v>3465</v>
      </c>
      <c r="G170" s="17" t="s">
        <v>295</v>
      </c>
      <c r="H170" s="17" t="s">
        <v>296</v>
      </c>
      <c r="I170" s="17" t="s">
        <v>297</v>
      </c>
      <c r="J170" s="17" t="s">
        <v>298</v>
      </c>
      <c r="K170" s="17" t="n">
        <v>21</v>
      </c>
      <c r="L170" s="17" t="s">
        <v>98</v>
      </c>
      <c r="M170" s="17" t="s">
        <v>62</v>
      </c>
      <c r="N170" s="19" t="n">
        <v>3.5</v>
      </c>
      <c r="O170" s="19" t="n">
        <v>73.5</v>
      </c>
      <c r="P170" s="17" t="s">
        <v>33</v>
      </c>
      <c r="Q170" s="20" t="n">
        <f aca="false">DATE(D170,C170,B170)</f>
        <v>44868</v>
      </c>
      <c r="R170" s="17" t="str">
        <f aca="false">IF(HOUR(E170)&lt;6,"Madrugada (0-5 h)",IF(HOUR(E170)&lt;12,"Mañana (6-11 h)",IF(HOUR(E170)&lt;18,"Tarde (12-17 h)","Noche (18-23 h)")))</f>
        <v>Tarde (12-17 h)</v>
      </c>
    </row>
    <row r="171" customFormat="false" ht="15" hidden="false" customHeight="false" outlineLevel="0" collapsed="false">
      <c r="A171" s="17" t="n">
        <v>1170</v>
      </c>
      <c r="B171" s="17" t="n">
        <v>8</v>
      </c>
      <c r="C171" s="17" t="n">
        <v>10</v>
      </c>
      <c r="D171" s="17" t="n">
        <v>2021</v>
      </c>
      <c r="E171" s="18" t="n">
        <v>0.449189814814815</v>
      </c>
      <c r="F171" s="17" t="n">
        <v>4593</v>
      </c>
      <c r="G171" s="17" t="s">
        <v>72</v>
      </c>
      <c r="H171" s="17" t="s">
        <v>299</v>
      </c>
      <c r="I171" s="17" t="s">
        <v>300</v>
      </c>
      <c r="J171" s="17" t="s">
        <v>301</v>
      </c>
      <c r="K171" s="17" t="n">
        <v>25</v>
      </c>
      <c r="L171" s="17" t="s">
        <v>61</v>
      </c>
      <c r="M171" s="17" t="s">
        <v>76</v>
      </c>
      <c r="N171" s="19" t="n">
        <v>13.71</v>
      </c>
      <c r="O171" s="19" t="n">
        <v>342.75</v>
      </c>
      <c r="P171" s="17" t="s">
        <v>33</v>
      </c>
      <c r="Q171" s="20" t="n">
        <f aca="false">DATE(D171,C171,B171)</f>
        <v>44477</v>
      </c>
      <c r="R171" s="17" t="str">
        <f aca="false">IF(HOUR(E171)&lt;6,"Madrugada (0-5 h)",IF(HOUR(E171)&lt;12,"Mañana (6-11 h)",IF(HOUR(E171)&lt;18,"Tarde (12-17 h)","Noche (18-23 h)")))</f>
        <v>Mañana (6-11 h)</v>
      </c>
    </row>
    <row r="172" customFormat="false" ht="15" hidden="false" customHeight="false" outlineLevel="0" collapsed="false">
      <c r="A172" s="17" t="n">
        <v>1171</v>
      </c>
      <c r="B172" s="17" t="n">
        <v>7</v>
      </c>
      <c r="C172" s="17" t="n">
        <v>3</v>
      </c>
      <c r="D172" s="17" t="n">
        <v>2021</v>
      </c>
      <c r="E172" s="18" t="n">
        <v>0.730590277777778</v>
      </c>
      <c r="F172" s="17" t="n">
        <v>4498</v>
      </c>
      <c r="G172" s="17" t="s">
        <v>302</v>
      </c>
      <c r="H172" s="17" t="s">
        <v>303</v>
      </c>
      <c r="I172" s="17" t="s">
        <v>300</v>
      </c>
      <c r="J172" s="17" t="s">
        <v>301</v>
      </c>
      <c r="K172" s="17" t="n">
        <v>5</v>
      </c>
      <c r="L172" s="17" t="s">
        <v>61</v>
      </c>
      <c r="M172" s="17" t="s">
        <v>76</v>
      </c>
      <c r="N172" s="19" t="n">
        <v>22.36</v>
      </c>
      <c r="O172" s="19" t="n">
        <v>111.8</v>
      </c>
      <c r="P172" s="17" t="s">
        <v>33</v>
      </c>
      <c r="Q172" s="20" t="n">
        <f aca="false">DATE(D172,C172,B172)</f>
        <v>44262</v>
      </c>
      <c r="R172" s="17" t="str">
        <f aca="false">IF(HOUR(E172)&lt;6,"Madrugada (0-5 h)",IF(HOUR(E172)&lt;12,"Mañana (6-11 h)",IF(HOUR(E172)&lt;18,"Tarde (12-17 h)","Noche (18-23 h)")))</f>
        <v>Tarde (12-17 h)</v>
      </c>
    </row>
    <row r="173" customFormat="false" ht="15" hidden="false" customHeight="false" outlineLevel="0" collapsed="false">
      <c r="A173" s="17" t="n">
        <v>1172</v>
      </c>
      <c r="B173" s="17" t="n">
        <v>26</v>
      </c>
      <c r="C173" s="17" t="n">
        <v>6</v>
      </c>
      <c r="D173" s="17" t="n">
        <v>2022</v>
      </c>
      <c r="E173" s="18" t="n">
        <v>0.889247685185185</v>
      </c>
      <c r="F173" s="17" t="n">
        <v>4181</v>
      </c>
      <c r="G173" s="17" t="s">
        <v>304</v>
      </c>
      <c r="H173" s="17" t="s">
        <v>305</v>
      </c>
      <c r="I173" s="17" t="s">
        <v>305</v>
      </c>
      <c r="J173" s="17" t="s">
        <v>306</v>
      </c>
      <c r="K173" s="17" t="n">
        <v>9</v>
      </c>
      <c r="L173" s="17" t="s">
        <v>31</v>
      </c>
      <c r="M173" s="17" t="s">
        <v>32</v>
      </c>
      <c r="N173" s="19" t="n">
        <v>6.68</v>
      </c>
      <c r="O173" s="19" t="n">
        <v>60.12</v>
      </c>
      <c r="P173" s="17" t="s">
        <v>33</v>
      </c>
      <c r="Q173" s="20" t="n">
        <f aca="false">DATE(D173,C173,B173)</f>
        <v>44738</v>
      </c>
      <c r="R173" s="17" t="str">
        <f aca="false">IF(HOUR(E173)&lt;6,"Madrugada (0-5 h)",IF(HOUR(E173)&lt;12,"Mañana (6-11 h)",IF(HOUR(E173)&lt;18,"Tarde (12-17 h)","Noche (18-23 h)")))</f>
        <v>Noche (18-23 h)</v>
      </c>
    </row>
    <row r="174" customFormat="false" ht="15" hidden="false" customHeight="false" outlineLevel="0" collapsed="false">
      <c r="A174" s="17" t="n">
        <v>1173</v>
      </c>
      <c r="B174" s="17" t="n">
        <v>17</v>
      </c>
      <c r="C174" s="17" t="n">
        <v>1</v>
      </c>
      <c r="D174" s="17" t="n">
        <v>2021</v>
      </c>
      <c r="E174" s="18" t="n">
        <v>0.0809606481481481</v>
      </c>
      <c r="F174" s="17" t="n">
        <v>4104</v>
      </c>
      <c r="G174" s="17" t="s">
        <v>307</v>
      </c>
      <c r="H174" s="17" t="s">
        <v>250</v>
      </c>
      <c r="I174" s="17" t="s">
        <v>308</v>
      </c>
      <c r="J174" s="17" t="s">
        <v>309</v>
      </c>
      <c r="K174" s="17" t="n">
        <v>4</v>
      </c>
      <c r="L174" s="17" t="s">
        <v>31</v>
      </c>
      <c r="M174" s="17" t="s">
        <v>32</v>
      </c>
      <c r="N174" s="19" t="n">
        <v>10.05</v>
      </c>
      <c r="O174" s="19" t="n">
        <v>40.2</v>
      </c>
      <c r="P174" s="17" t="s">
        <v>33</v>
      </c>
      <c r="Q174" s="20" t="n">
        <f aca="false">DATE(D174,C174,B174)</f>
        <v>44213</v>
      </c>
      <c r="R174" s="17" t="str">
        <f aca="false">IF(HOUR(E174)&lt;6,"Madrugada (0-5 h)",IF(HOUR(E174)&lt;12,"Mañana (6-11 h)",IF(HOUR(E174)&lt;18,"Tarde (12-17 h)","Noche (18-23 h)")))</f>
        <v>Madrugada (0-5 h)</v>
      </c>
    </row>
    <row r="175" customFormat="false" ht="15" hidden="false" customHeight="false" outlineLevel="0" collapsed="false">
      <c r="A175" s="17" t="n">
        <v>1174</v>
      </c>
      <c r="B175" s="17" t="n">
        <v>18</v>
      </c>
      <c r="C175" s="17" t="n">
        <v>4</v>
      </c>
      <c r="D175" s="17" t="n">
        <v>2022</v>
      </c>
      <c r="E175" s="18" t="n">
        <v>0.77931712962963</v>
      </c>
      <c r="F175" s="17" t="n">
        <v>3866</v>
      </c>
      <c r="G175" s="17" t="s">
        <v>310</v>
      </c>
      <c r="H175" s="17" t="s">
        <v>311</v>
      </c>
      <c r="I175" s="17" t="s">
        <v>312</v>
      </c>
      <c r="J175" s="17" t="s">
        <v>313</v>
      </c>
      <c r="K175" s="17" t="n">
        <v>29</v>
      </c>
      <c r="L175" s="17" t="s">
        <v>31</v>
      </c>
      <c r="M175" s="17" t="s">
        <v>32</v>
      </c>
      <c r="N175" s="19" t="n">
        <v>1.55</v>
      </c>
      <c r="O175" s="19" t="n">
        <v>44.95</v>
      </c>
      <c r="P175" s="17" t="s">
        <v>33</v>
      </c>
      <c r="Q175" s="20" t="n">
        <f aca="false">DATE(D175,C175,B175)</f>
        <v>44669</v>
      </c>
      <c r="R175" s="17" t="str">
        <f aca="false">IF(HOUR(E175)&lt;6,"Madrugada (0-5 h)",IF(HOUR(E175)&lt;12,"Mañana (6-11 h)",IF(HOUR(E175)&lt;18,"Tarde (12-17 h)","Noche (18-23 h)")))</f>
        <v>Noche (18-23 h)</v>
      </c>
    </row>
    <row r="176" customFormat="false" ht="15" hidden="false" customHeight="false" outlineLevel="0" collapsed="false">
      <c r="A176" s="17" t="n">
        <v>1175</v>
      </c>
      <c r="B176" s="17" t="n">
        <v>3</v>
      </c>
      <c r="C176" s="17" t="n">
        <v>6</v>
      </c>
      <c r="D176" s="17" t="n">
        <v>2022</v>
      </c>
      <c r="E176" s="18" t="n">
        <v>0.781157407407407</v>
      </c>
      <c r="F176" s="17" t="n">
        <v>1059</v>
      </c>
      <c r="G176" s="17" t="s">
        <v>314</v>
      </c>
      <c r="H176" s="17" t="s">
        <v>315</v>
      </c>
      <c r="I176" s="17" t="s">
        <v>316</v>
      </c>
      <c r="J176" s="17" t="s">
        <v>317</v>
      </c>
      <c r="K176" s="17" t="n">
        <v>37</v>
      </c>
      <c r="L176" s="17" t="s">
        <v>31</v>
      </c>
      <c r="M176" s="17" t="s">
        <v>32</v>
      </c>
      <c r="N176" s="19" t="n">
        <v>4.55</v>
      </c>
      <c r="O176" s="19" t="n">
        <v>168.35</v>
      </c>
      <c r="P176" s="17" t="s">
        <v>33</v>
      </c>
      <c r="Q176" s="20" t="n">
        <f aca="false">DATE(D176,C176,B176)</f>
        <v>44715</v>
      </c>
      <c r="R176" s="17" t="str">
        <f aca="false">IF(HOUR(E176)&lt;6,"Madrugada (0-5 h)",IF(HOUR(E176)&lt;12,"Mañana (6-11 h)",IF(HOUR(E176)&lt;18,"Tarde (12-17 h)","Noche (18-23 h)")))</f>
        <v>Noche (18-23 h)</v>
      </c>
    </row>
    <row r="177" customFormat="false" ht="15" hidden="false" customHeight="false" outlineLevel="0" collapsed="false">
      <c r="A177" s="17" t="n">
        <v>1176</v>
      </c>
      <c r="B177" s="17" t="n">
        <v>16</v>
      </c>
      <c r="C177" s="17" t="n">
        <v>7</v>
      </c>
      <c r="D177" s="17" t="n">
        <v>2022</v>
      </c>
      <c r="E177" s="18" t="n">
        <v>0.400983796296296</v>
      </c>
      <c r="F177" s="17" t="n">
        <v>2286</v>
      </c>
      <c r="G177" s="17" t="s">
        <v>318</v>
      </c>
      <c r="H177" s="17" t="s">
        <v>319</v>
      </c>
      <c r="I177" s="17" t="s">
        <v>320</v>
      </c>
      <c r="J177" s="17" t="s">
        <v>321</v>
      </c>
      <c r="K177" s="17" t="n">
        <v>37</v>
      </c>
      <c r="L177" s="17" t="s">
        <v>31</v>
      </c>
      <c r="M177" s="17" t="s">
        <v>82</v>
      </c>
      <c r="N177" s="19" t="n">
        <v>5.74</v>
      </c>
      <c r="O177" s="19" t="n">
        <v>212.38</v>
      </c>
      <c r="P177" s="17" t="s">
        <v>33</v>
      </c>
      <c r="Q177" s="20" t="n">
        <f aca="false">DATE(D177,C177,B177)</f>
        <v>44758</v>
      </c>
      <c r="R177" s="17" t="str">
        <f aca="false">IF(HOUR(E177)&lt;6,"Madrugada (0-5 h)",IF(HOUR(E177)&lt;12,"Mañana (6-11 h)",IF(HOUR(E177)&lt;18,"Tarde (12-17 h)","Noche (18-23 h)")))</f>
        <v>Mañana (6-11 h)</v>
      </c>
    </row>
    <row r="178" customFormat="false" ht="15" hidden="false" customHeight="false" outlineLevel="0" collapsed="false">
      <c r="A178" s="17" t="n">
        <v>1177</v>
      </c>
      <c r="B178" s="17" t="n">
        <v>1</v>
      </c>
      <c r="C178" s="17" t="n">
        <v>5</v>
      </c>
      <c r="D178" s="17" t="n">
        <v>2021</v>
      </c>
      <c r="E178" s="18" t="n">
        <v>0.250069444444445</v>
      </c>
      <c r="F178" s="17" t="n">
        <v>4824</v>
      </c>
      <c r="G178" s="17" t="s">
        <v>322</v>
      </c>
      <c r="H178" s="17" t="s">
        <v>323</v>
      </c>
      <c r="I178" s="17" t="s">
        <v>324</v>
      </c>
      <c r="J178" s="17" t="s">
        <v>325</v>
      </c>
      <c r="K178" s="17" t="n">
        <v>1</v>
      </c>
      <c r="L178" s="17" t="s">
        <v>61</v>
      </c>
      <c r="M178" s="17" t="s">
        <v>76</v>
      </c>
      <c r="N178" s="19" t="n">
        <v>10.99</v>
      </c>
      <c r="O178" s="19" t="n">
        <v>10.99</v>
      </c>
      <c r="P178" s="17" t="s">
        <v>33</v>
      </c>
      <c r="Q178" s="20" t="n">
        <f aca="false">DATE(D178,C178,B178)</f>
        <v>44317</v>
      </c>
      <c r="R178" s="17" t="str">
        <f aca="false">IF(HOUR(E178)&lt;6,"Madrugada (0-5 h)",IF(HOUR(E178)&lt;12,"Mañana (6-11 h)",IF(HOUR(E178)&lt;18,"Tarde (12-17 h)","Noche (18-23 h)")))</f>
        <v>Mañana (6-11 h)</v>
      </c>
    </row>
    <row r="179" customFormat="false" ht="15" hidden="false" customHeight="false" outlineLevel="0" collapsed="false">
      <c r="A179" s="17" t="n">
        <v>1178</v>
      </c>
      <c r="B179" s="17" t="n">
        <v>22</v>
      </c>
      <c r="C179" s="17" t="n">
        <v>9</v>
      </c>
      <c r="D179" s="17" t="n">
        <v>2021</v>
      </c>
      <c r="E179" s="18" t="n">
        <v>0.14537037037037</v>
      </c>
      <c r="F179" s="17" t="n">
        <v>1976</v>
      </c>
      <c r="G179" s="17" t="s">
        <v>188</v>
      </c>
      <c r="H179" s="17" t="s">
        <v>326</v>
      </c>
      <c r="I179" s="17" t="s">
        <v>190</v>
      </c>
      <c r="J179" s="17" t="s">
        <v>191</v>
      </c>
      <c r="K179" s="17" t="n">
        <v>3</v>
      </c>
      <c r="L179" s="17" t="s">
        <v>61</v>
      </c>
      <c r="M179" s="17" t="s">
        <v>76</v>
      </c>
      <c r="N179" s="19" t="n">
        <v>13.55</v>
      </c>
      <c r="O179" s="19" t="n">
        <v>40.65</v>
      </c>
      <c r="P179" s="17" t="s">
        <v>43</v>
      </c>
      <c r="Q179" s="20" t="n">
        <f aca="false">DATE(D179,C179,B179)</f>
        <v>44461</v>
      </c>
      <c r="R179" s="17" t="str">
        <f aca="false">IF(HOUR(E179)&lt;6,"Madrugada (0-5 h)",IF(HOUR(E179)&lt;12,"Mañana (6-11 h)",IF(HOUR(E179)&lt;18,"Tarde (12-17 h)","Noche (18-23 h)")))</f>
        <v>Madrugada (0-5 h)</v>
      </c>
    </row>
    <row r="180" customFormat="false" ht="15" hidden="false" customHeight="false" outlineLevel="0" collapsed="false">
      <c r="A180" s="17" t="n">
        <v>1179</v>
      </c>
      <c r="B180" s="17" t="n">
        <v>20</v>
      </c>
      <c r="C180" s="17" t="n">
        <v>8</v>
      </c>
      <c r="D180" s="17" t="n">
        <v>2022</v>
      </c>
      <c r="E180" s="18" t="n">
        <v>0.0316666666666667</v>
      </c>
      <c r="F180" s="17" t="n">
        <v>4778</v>
      </c>
      <c r="G180" s="17" t="s">
        <v>327</v>
      </c>
      <c r="H180" s="17" t="s">
        <v>84</v>
      </c>
      <c r="I180" s="17" t="s">
        <v>222</v>
      </c>
      <c r="J180" s="17" t="s">
        <v>328</v>
      </c>
      <c r="K180" s="17" t="n">
        <v>4</v>
      </c>
      <c r="L180" s="17" t="s">
        <v>42</v>
      </c>
      <c r="M180" s="17" t="s">
        <v>32</v>
      </c>
      <c r="N180" s="19" t="n">
        <v>5.56</v>
      </c>
      <c r="O180" s="19" t="n">
        <v>22.24</v>
      </c>
      <c r="P180" s="17" t="s">
        <v>33</v>
      </c>
      <c r="Q180" s="20" t="n">
        <f aca="false">DATE(D180,C180,B180)</f>
        <v>44793</v>
      </c>
      <c r="R180" s="17" t="str">
        <f aca="false">IF(HOUR(E180)&lt;6,"Madrugada (0-5 h)",IF(HOUR(E180)&lt;12,"Mañana (6-11 h)",IF(HOUR(E180)&lt;18,"Tarde (12-17 h)","Noche (18-23 h)")))</f>
        <v>Madrugada (0-5 h)</v>
      </c>
    </row>
    <row r="181" customFormat="false" ht="15" hidden="false" customHeight="false" outlineLevel="0" collapsed="false">
      <c r="A181" s="17" t="n">
        <v>1180</v>
      </c>
      <c r="B181" s="17" t="n">
        <v>9</v>
      </c>
      <c r="C181" s="17" t="n">
        <v>10</v>
      </c>
      <c r="D181" s="17" t="n">
        <v>2022</v>
      </c>
      <c r="E181" s="18" t="n">
        <v>0.26619212962963</v>
      </c>
      <c r="F181" s="17" t="n">
        <v>4950</v>
      </c>
      <c r="G181" s="17" t="s">
        <v>329</v>
      </c>
      <c r="H181" s="17" t="s">
        <v>330</v>
      </c>
      <c r="I181" s="17" t="s">
        <v>331</v>
      </c>
      <c r="J181" s="17" t="s">
        <v>332</v>
      </c>
      <c r="K181" s="17" t="n">
        <v>36</v>
      </c>
      <c r="L181" s="17" t="s">
        <v>81</v>
      </c>
      <c r="M181" s="17" t="s">
        <v>333</v>
      </c>
      <c r="N181" s="19" t="n">
        <v>3.32</v>
      </c>
      <c r="O181" s="19" t="n">
        <v>119.52</v>
      </c>
      <c r="P181" s="17" t="s">
        <v>43</v>
      </c>
      <c r="Q181" s="20" t="n">
        <f aca="false">DATE(D181,C181,B181)</f>
        <v>44843</v>
      </c>
      <c r="R181" s="17" t="str">
        <f aca="false">IF(HOUR(E181)&lt;6,"Madrugada (0-5 h)",IF(HOUR(E181)&lt;12,"Mañana (6-11 h)",IF(HOUR(E181)&lt;18,"Tarde (12-17 h)","Noche (18-23 h)")))</f>
        <v>Mañana (6-11 h)</v>
      </c>
    </row>
    <row r="182" customFormat="false" ht="15" hidden="false" customHeight="false" outlineLevel="0" collapsed="false">
      <c r="A182" s="17" t="n">
        <v>1181</v>
      </c>
      <c r="B182" s="17" t="n">
        <v>3</v>
      </c>
      <c r="C182" s="17" t="n">
        <v>3</v>
      </c>
      <c r="D182" s="17" t="n">
        <v>2021</v>
      </c>
      <c r="E182" s="18" t="n">
        <v>0.0971180555555556</v>
      </c>
      <c r="F182" s="17" t="n">
        <v>2537</v>
      </c>
      <c r="G182" s="17" t="s">
        <v>334</v>
      </c>
      <c r="H182" s="17" t="s">
        <v>88</v>
      </c>
      <c r="I182" s="17" t="s">
        <v>335</v>
      </c>
      <c r="J182" s="17" t="s">
        <v>336</v>
      </c>
      <c r="K182" s="17" t="n">
        <v>3</v>
      </c>
      <c r="L182" s="17" t="s">
        <v>81</v>
      </c>
      <c r="M182" s="17" t="s">
        <v>333</v>
      </c>
      <c r="N182" s="19" t="n">
        <v>54</v>
      </c>
      <c r="O182" s="19" t="n">
        <v>162</v>
      </c>
      <c r="P182" s="17" t="s">
        <v>33</v>
      </c>
      <c r="Q182" s="20" t="n">
        <f aca="false">DATE(D182,C182,B182)</f>
        <v>44258</v>
      </c>
      <c r="R182" s="17" t="str">
        <f aca="false">IF(HOUR(E182)&lt;6,"Madrugada (0-5 h)",IF(HOUR(E182)&lt;12,"Mañana (6-11 h)",IF(HOUR(E182)&lt;18,"Tarde (12-17 h)","Noche (18-23 h)")))</f>
        <v>Madrugada (0-5 h)</v>
      </c>
    </row>
    <row r="183" customFormat="false" ht="15" hidden="false" customHeight="false" outlineLevel="0" collapsed="false">
      <c r="A183" s="17" t="n">
        <v>1182</v>
      </c>
      <c r="B183" s="17" t="n">
        <v>16</v>
      </c>
      <c r="C183" s="17" t="n">
        <v>7</v>
      </c>
      <c r="D183" s="17" t="n">
        <v>2021</v>
      </c>
      <c r="E183" s="18" t="n">
        <v>0.993032407407407</v>
      </c>
      <c r="F183" s="17" t="n">
        <v>1239</v>
      </c>
      <c r="G183" s="17" t="s">
        <v>337</v>
      </c>
      <c r="H183" s="17" t="s">
        <v>338</v>
      </c>
      <c r="I183" s="17" t="s">
        <v>339</v>
      </c>
      <c r="J183" s="17" t="s">
        <v>340</v>
      </c>
      <c r="K183" s="17" t="n">
        <v>17</v>
      </c>
      <c r="L183" s="17" t="s">
        <v>81</v>
      </c>
      <c r="M183" s="17" t="s">
        <v>333</v>
      </c>
      <c r="N183" s="19" t="n">
        <v>13.42</v>
      </c>
      <c r="O183" s="19" t="n">
        <v>228.14</v>
      </c>
      <c r="P183" s="17" t="s">
        <v>33</v>
      </c>
      <c r="Q183" s="20" t="n">
        <f aca="false">DATE(D183,C183,B183)</f>
        <v>44393</v>
      </c>
      <c r="R183" s="17" t="str">
        <f aca="false">IF(HOUR(E183)&lt;6,"Madrugada (0-5 h)",IF(HOUR(E183)&lt;12,"Mañana (6-11 h)",IF(HOUR(E183)&lt;18,"Tarde (12-17 h)","Noche (18-23 h)")))</f>
        <v>Noche (18-23 h)</v>
      </c>
    </row>
    <row r="184" customFormat="false" ht="15" hidden="false" customHeight="false" outlineLevel="0" collapsed="false">
      <c r="A184" s="17" t="n">
        <v>1183</v>
      </c>
      <c r="B184" s="17" t="n">
        <v>21</v>
      </c>
      <c r="C184" s="17" t="n">
        <v>8</v>
      </c>
      <c r="D184" s="17" t="n">
        <v>2022</v>
      </c>
      <c r="E184" s="18" t="n">
        <v>0.609282407407407</v>
      </c>
      <c r="F184" s="17" t="n">
        <v>1551</v>
      </c>
      <c r="G184" s="17" t="s">
        <v>341</v>
      </c>
      <c r="H184" s="17" t="s">
        <v>342</v>
      </c>
      <c r="I184" s="17" t="s">
        <v>343</v>
      </c>
      <c r="J184" s="17" t="s">
        <v>344</v>
      </c>
      <c r="K184" s="17" t="n">
        <v>32</v>
      </c>
      <c r="L184" s="17" t="s">
        <v>81</v>
      </c>
      <c r="M184" s="17" t="s">
        <v>333</v>
      </c>
      <c r="N184" s="19" t="n">
        <v>45.04</v>
      </c>
      <c r="O184" s="19" t="n">
        <v>1441.28</v>
      </c>
      <c r="P184" s="17" t="s">
        <v>33</v>
      </c>
      <c r="Q184" s="20" t="n">
        <f aca="false">DATE(D184,C184,B184)</f>
        <v>44794</v>
      </c>
      <c r="R184" s="17" t="str">
        <f aca="false">IF(HOUR(E184)&lt;6,"Madrugada (0-5 h)",IF(HOUR(E184)&lt;12,"Mañana (6-11 h)",IF(HOUR(E184)&lt;18,"Tarde (12-17 h)","Noche (18-23 h)")))</f>
        <v>Tarde (12-17 h)</v>
      </c>
    </row>
    <row r="185" customFormat="false" ht="15" hidden="false" customHeight="false" outlineLevel="0" collapsed="false">
      <c r="A185" s="17" t="n">
        <v>1184</v>
      </c>
      <c r="B185" s="17" t="n">
        <v>8</v>
      </c>
      <c r="C185" s="17" t="n">
        <v>5</v>
      </c>
      <c r="D185" s="17" t="n">
        <v>2022</v>
      </c>
      <c r="E185" s="18" t="n">
        <v>0.966493055555556</v>
      </c>
      <c r="F185" s="17" t="n">
        <v>2554</v>
      </c>
      <c r="G185" s="17" t="s">
        <v>345</v>
      </c>
      <c r="H185" s="17" t="s">
        <v>346</v>
      </c>
      <c r="I185" s="17" t="s">
        <v>347</v>
      </c>
      <c r="J185" s="17" t="s">
        <v>348</v>
      </c>
      <c r="K185" s="17" t="n">
        <v>22</v>
      </c>
      <c r="L185" s="17" t="s">
        <v>81</v>
      </c>
      <c r="M185" s="17" t="s">
        <v>32</v>
      </c>
      <c r="N185" s="19" t="n">
        <v>20.05</v>
      </c>
      <c r="O185" s="19" t="n">
        <v>441.1</v>
      </c>
      <c r="P185" s="17" t="s">
        <v>33</v>
      </c>
      <c r="Q185" s="20" t="n">
        <f aca="false">DATE(D185,C185,B185)</f>
        <v>44689</v>
      </c>
      <c r="R185" s="17" t="str">
        <f aca="false">IF(HOUR(E185)&lt;6,"Madrugada (0-5 h)",IF(HOUR(E185)&lt;12,"Mañana (6-11 h)",IF(HOUR(E185)&lt;18,"Tarde (12-17 h)","Noche (18-23 h)")))</f>
        <v>Noche (18-23 h)</v>
      </c>
    </row>
    <row r="186" customFormat="false" ht="15" hidden="false" customHeight="false" outlineLevel="0" collapsed="false">
      <c r="A186" s="17" t="n">
        <v>1185</v>
      </c>
      <c r="B186" s="17" t="n">
        <v>1</v>
      </c>
      <c r="C186" s="17" t="n">
        <v>12</v>
      </c>
      <c r="D186" s="17" t="n">
        <v>2022</v>
      </c>
      <c r="E186" s="18" t="n">
        <v>0.167060185185185</v>
      </c>
      <c r="F186" s="17" t="n">
        <v>3914</v>
      </c>
      <c r="G186" s="17" t="s">
        <v>349</v>
      </c>
      <c r="H186" s="17" t="s">
        <v>350</v>
      </c>
      <c r="I186" s="17" t="s">
        <v>351</v>
      </c>
      <c r="J186" s="17" t="s">
        <v>352</v>
      </c>
      <c r="K186" s="17" t="n">
        <v>26</v>
      </c>
      <c r="L186" s="17" t="s">
        <v>81</v>
      </c>
      <c r="M186" s="17" t="s">
        <v>32</v>
      </c>
      <c r="N186" s="19" t="n">
        <v>7.98</v>
      </c>
      <c r="O186" s="19" t="n">
        <v>207.48</v>
      </c>
      <c r="P186" s="17" t="s">
        <v>43</v>
      </c>
      <c r="Q186" s="20" t="n">
        <f aca="false">DATE(D186,C186,B186)</f>
        <v>44896</v>
      </c>
      <c r="R186" s="17" t="str">
        <f aca="false">IF(HOUR(E186)&lt;6,"Madrugada (0-5 h)",IF(HOUR(E186)&lt;12,"Mañana (6-11 h)",IF(HOUR(E186)&lt;18,"Tarde (12-17 h)","Noche (18-23 h)")))</f>
        <v>Madrugada (0-5 h)</v>
      </c>
    </row>
    <row r="187" customFormat="false" ht="15" hidden="false" customHeight="false" outlineLevel="0" collapsed="false">
      <c r="A187" s="17" t="n">
        <v>1186</v>
      </c>
      <c r="B187" s="17" t="n">
        <v>5</v>
      </c>
      <c r="C187" s="17" t="n">
        <v>2</v>
      </c>
      <c r="D187" s="17" t="n">
        <v>2022</v>
      </c>
      <c r="E187" s="18" t="n">
        <v>0.730555555555556</v>
      </c>
      <c r="F187" s="17" t="n">
        <v>2707</v>
      </c>
      <c r="G187" s="17" t="s">
        <v>353</v>
      </c>
      <c r="H187" s="17" t="s">
        <v>354</v>
      </c>
      <c r="I187" s="17" t="s">
        <v>355</v>
      </c>
      <c r="J187" s="17" t="s">
        <v>356</v>
      </c>
      <c r="K187" s="17" t="n">
        <v>25</v>
      </c>
      <c r="L187" s="17" t="s">
        <v>125</v>
      </c>
      <c r="M187" s="17" t="s">
        <v>82</v>
      </c>
      <c r="N187" s="19" t="n">
        <v>24.43</v>
      </c>
      <c r="O187" s="19" t="n">
        <v>610.75</v>
      </c>
      <c r="P187" s="17" t="s">
        <v>33</v>
      </c>
      <c r="Q187" s="20" t="n">
        <f aca="false">DATE(D187,C187,B187)</f>
        <v>44597</v>
      </c>
      <c r="R187" s="17" t="str">
        <f aca="false">IF(HOUR(E187)&lt;6,"Madrugada (0-5 h)",IF(HOUR(E187)&lt;12,"Mañana (6-11 h)",IF(HOUR(E187)&lt;18,"Tarde (12-17 h)","Noche (18-23 h)")))</f>
        <v>Tarde (12-17 h)</v>
      </c>
    </row>
    <row r="188" customFormat="false" ht="15" hidden="false" customHeight="false" outlineLevel="0" collapsed="false">
      <c r="A188" s="17" t="n">
        <v>1187</v>
      </c>
      <c r="B188" s="17" t="n">
        <v>8</v>
      </c>
      <c r="C188" s="17" t="n">
        <v>2</v>
      </c>
      <c r="D188" s="17" t="n">
        <v>2021</v>
      </c>
      <c r="E188" s="18" t="n">
        <v>0.192858796296296</v>
      </c>
      <c r="F188" s="17" t="n">
        <v>3046</v>
      </c>
      <c r="G188" s="17" t="s">
        <v>357</v>
      </c>
      <c r="H188" s="17" t="s">
        <v>358</v>
      </c>
      <c r="I188" s="17" t="s">
        <v>359</v>
      </c>
      <c r="J188" s="17" t="s">
        <v>360</v>
      </c>
      <c r="K188" s="17" t="n">
        <v>50</v>
      </c>
      <c r="L188" s="17" t="s">
        <v>81</v>
      </c>
      <c r="M188" s="17" t="s">
        <v>76</v>
      </c>
      <c r="N188" s="19" t="n">
        <v>6.3</v>
      </c>
      <c r="O188" s="19" t="n">
        <v>315</v>
      </c>
      <c r="P188" s="17" t="s">
        <v>33</v>
      </c>
      <c r="Q188" s="20" t="n">
        <f aca="false">DATE(D188,C188,B188)</f>
        <v>44235</v>
      </c>
      <c r="R188" s="17" t="str">
        <f aca="false">IF(HOUR(E188)&lt;6,"Madrugada (0-5 h)",IF(HOUR(E188)&lt;12,"Mañana (6-11 h)",IF(HOUR(E188)&lt;18,"Tarde (12-17 h)","Noche (18-23 h)")))</f>
        <v>Madrugada (0-5 h)</v>
      </c>
    </row>
    <row r="189" customFormat="false" ht="15" hidden="false" customHeight="false" outlineLevel="0" collapsed="false">
      <c r="A189" s="17" t="n">
        <v>1188</v>
      </c>
      <c r="B189" s="17" t="n">
        <v>26</v>
      </c>
      <c r="C189" s="17" t="n">
        <v>2</v>
      </c>
      <c r="D189" s="17" t="n">
        <v>2022</v>
      </c>
      <c r="E189" s="18" t="n">
        <v>0.467627314814815</v>
      </c>
      <c r="F189" s="17" t="n">
        <v>4995</v>
      </c>
      <c r="G189" s="17" t="s">
        <v>361</v>
      </c>
      <c r="H189" s="17" t="s">
        <v>418</v>
      </c>
      <c r="I189" s="17" t="s">
        <v>363</v>
      </c>
      <c r="J189" s="17" t="s">
        <v>364</v>
      </c>
      <c r="K189" s="17" t="n">
        <v>3</v>
      </c>
      <c r="L189" s="17" t="s">
        <v>81</v>
      </c>
      <c r="M189" s="17" t="s">
        <v>76</v>
      </c>
      <c r="N189" s="19" t="n">
        <v>1.89</v>
      </c>
      <c r="O189" s="19" t="n">
        <v>5.67</v>
      </c>
      <c r="P189" s="17" t="s">
        <v>33</v>
      </c>
      <c r="Q189" s="20" t="n">
        <f aca="false">DATE(D189,C189,B189)</f>
        <v>44618</v>
      </c>
      <c r="R189" s="17" t="str">
        <f aca="false">IF(HOUR(E189)&lt;6,"Madrugada (0-5 h)",IF(HOUR(E189)&lt;12,"Mañana (6-11 h)",IF(HOUR(E189)&lt;18,"Tarde (12-17 h)","Noche (18-23 h)")))</f>
        <v>Mañana (6-11 h)</v>
      </c>
    </row>
    <row r="190" customFormat="false" ht="15" hidden="false" customHeight="false" outlineLevel="0" collapsed="false">
      <c r="A190" s="17" t="n">
        <v>1189</v>
      </c>
      <c r="B190" s="17" t="n">
        <v>10</v>
      </c>
      <c r="C190" s="17" t="n">
        <v>7</v>
      </c>
      <c r="D190" s="17" t="n">
        <v>2022</v>
      </c>
      <c r="E190" s="18" t="n">
        <v>0.566747685185185</v>
      </c>
      <c r="F190" s="17" t="n">
        <v>2647</v>
      </c>
      <c r="G190" s="17" t="s">
        <v>365</v>
      </c>
      <c r="H190" s="17" t="s">
        <v>366</v>
      </c>
      <c r="I190" s="17" t="s">
        <v>367</v>
      </c>
      <c r="J190" s="17" t="s">
        <v>368</v>
      </c>
      <c r="K190" s="17" t="n">
        <v>4</v>
      </c>
      <c r="L190" s="17" t="s">
        <v>81</v>
      </c>
      <c r="M190" s="17" t="s">
        <v>32</v>
      </c>
      <c r="N190" s="19" t="n">
        <v>2.3</v>
      </c>
      <c r="O190" s="19" t="n">
        <v>9.2</v>
      </c>
      <c r="P190" s="17" t="s">
        <v>33</v>
      </c>
      <c r="Q190" s="20" t="n">
        <f aca="false">DATE(D190,C190,B190)</f>
        <v>44752</v>
      </c>
      <c r="R190" s="17" t="str">
        <f aca="false">IF(HOUR(E190)&lt;6,"Madrugada (0-5 h)",IF(HOUR(E190)&lt;12,"Mañana (6-11 h)",IF(HOUR(E190)&lt;18,"Tarde (12-17 h)","Noche (18-23 h)")))</f>
        <v>Tarde (12-17 h)</v>
      </c>
    </row>
    <row r="191" customFormat="false" ht="15" hidden="false" customHeight="false" outlineLevel="0" collapsed="false">
      <c r="A191" s="17" t="n">
        <v>1190</v>
      </c>
      <c r="B191" s="17" t="n">
        <v>17</v>
      </c>
      <c r="C191" s="17" t="n">
        <v>11</v>
      </c>
      <c r="D191" s="17" t="n">
        <v>2022</v>
      </c>
      <c r="E191" s="18" t="n">
        <v>0.278425925925926</v>
      </c>
      <c r="F191" s="17" t="n">
        <v>3423</v>
      </c>
      <c r="G191" s="17" t="s">
        <v>369</v>
      </c>
      <c r="H191" s="17" t="s">
        <v>370</v>
      </c>
      <c r="I191" s="17" t="s">
        <v>371</v>
      </c>
      <c r="J191" s="17" t="s">
        <v>372</v>
      </c>
      <c r="K191" s="17" t="n">
        <v>13</v>
      </c>
      <c r="L191" s="17" t="s">
        <v>81</v>
      </c>
      <c r="M191" s="17" t="s">
        <v>32</v>
      </c>
      <c r="N191" s="19" t="n">
        <v>6.76</v>
      </c>
      <c r="O191" s="19" t="n">
        <v>87.88</v>
      </c>
      <c r="P191" s="17" t="s">
        <v>33</v>
      </c>
      <c r="Q191" s="20" t="n">
        <f aca="false">DATE(D191,C191,B191)</f>
        <v>44882</v>
      </c>
      <c r="R191" s="17" t="str">
        <f aca="false">IF(HOUR(E191)&lt;6,"Madrugada (0-5 h)",IF(HOUR(E191)&lt;12,"Mañana (6-11 h)",IF(HOUR(E191)&lt;18,"Tarde (12-17 h)","Noche (18-23 h)")))</f>
        <v>Mañana (6-11 h)</v>
      </c>
    </row>
    <row r="192" customFormat="false" ht="15" hidden="false" customHeight="false" outlineLevel="0" collapsed="false">
      <c r="A192" s="17" t="n">
        <v>1191</v>
      </c>
      <c r="B192" s="17" t="n">
        <v>25</v>
      </c>
      <c r="C192" s="17" t="n">
        <v>12</v>
      </c>
      <c r="D192" s="17" t="n">
        <v>2022</v>
      </c>
      <c r="E192" s="18" t="n">
        <v>0.0524305555555556</v>
      </c>
      <c r="F192" s="17" t="n">
        <v>2914</v>
      </c>
      <c r="G192" s="17" t="s">
        <v>373</v>
      </c>
      <c r="H192" s="17" t="s">
        <v>374</v>
      </c>
      <c r="I192" s="17" t="s">
        <v>375</v>
      </c>
      <c r="J192" s="17" t="s">
        <v>376</v>
      </c>
      <c r="K192" s="17" t="n">
        <v>22</v>
      </c>
      <c r="L192" s="17" t="s">
        <v>81</v>
      </c>
      <c r="M192" s="17" t="s">
        <v>32</v>
      </c>
      <c r="N192" s="19" t="n">
        <v>7.3</v>
      </c>
      <c r="O192" s="19" t="n">
        <v>160.6</v>
      </c>
      <c r="P192" s="17" t="s">
        <v>43</v>
      </c>
      <c r="Q192" s="20" t="n">
        <f aca="false">DATE(D192,C192,B192)</f>
        <v>44920</v>
      </c>
      <c r="R192" s="17" t="str">
        <f aca="false">IF(HOUR(E192)&lt;6,"Madrugada (0-5 h)",IF(HOUR(E192)&lt;12,"Mañana (6-11 h)",IF(HOUR(E192)&lt;18,"Tarde (12-17 h)","Noche (18-23 h)")))</f>
        <v>Madrugada (0-5 h)</v>
      </c>
    </row>
    <row r="193" customFormat="false" ht="15" hidden="false" customHeight="false" outlineLevel="0" collapsed="false">
      <c r="A193" s="17" t="n">
        <v>1192</v>
      </c>
      <c r="B193" s="17" t="n">
        <v>20</v>
      </c>
      <c r="C193" s="17" t="n">
        <v>1</v>
      </c>
      <c r="D193" s="17" t="n">
        <v>2021</v>
      </c>
      <c r="E193" s="18" t="n">
        <v>0.548090277777778</v>
      </c>
      <c r="F193" s="17" t="n">
        <v>1466</v>
      </c>
      <c r="G193" s="17" t="s">
        <v>377</v>
      </c>
      <c r="H193" s="17" t="s">
        <v>137</v>
      </c>
      <c r="I193" s="17" t="s">
        <v>419</v>
      </c>
      <c r="J193" s="17" t="s">
        <v>379</v>
      </c>
      <c r="K193" s="17" t="n">
        <v>39</v>
      </c>
      <c r="L193" s="17" t="s">
        <v>81</v>
      </c>
      <c r="M193" s="17" t="s">
        <v>32</v>
      </c>
      <c r="N193" s="19" t="n">
        <v>6.3</v>
      </c>
      <c r="O193" s="19" t="n">
        <v>245.7</v>
      </c>
      <c r="P193" s="17" t="s">
        <v>33</v>
      </c>
      <c r="Q193" s="20" t="n">
        <f aca="false">DATE(D193,C193,B193)</f>
        <v>44216</v>
      </c>
      <c r="R193" s="17" t="str">
        <f aca="false">IF(HOUR(E193)&lt;6,"Madrugada (0-5 h)",IF(HOUR(E193)&lt;12,"Mañana (6-11 h)",IF(HOUR(E193)&lt;18,"Tarde (12-17 h)","Noche (18-23 h)")))</f>
        <v>Tarde (12-17 h)</v>
      </c>
    </row>
    <row r="194" customFormat="false" ht="15" hidden="false" customHeight="false" outlineLevel="0" collapsed="false">
      <c r="A194" s="17" t="n">
        <v>1193</v>
      </c>
      <c r="B194" s="17" t="n">
        <v>19</v>
      </c>
      <c r="C194" s="17" t="n">
        <v>4</v>
      </c>
      <c r="D194" s="17" t="n">
        <v>2021</v>
      </c>
      <c r="E194" s="18" t="n">
        <v>0.204664351851852</v>
      </c>
      <c r="F194" s="17" t="n">
        <v>4017</v>
      </c>
      <c r="G194" s="17" t="s">
        <v>380</v>
      </c>
      <c r="H194" s="17" t="s">
        <v>333</v>
      </c>
      <c r="I194" s="17" t="s">
        <v>381</v>
      </c>
      <c r="J194" s="17" t="s">
        <v>382</v>
      </c>
      <c r="K194" s="17" t="n">
        <v>17</v>
      </c>
      <c r="L194" s="17" t="s">
        <v>81</v>
      </c>
      <c r="M194" s="17" t="s">
        <v>76</v>
      </c>
      <c r="N194" s="19" t="n">
        <v>5.23</v>
      </c>
      <c r="O194" s="19" t="n">
        <v>88.91</v>
      </c>
      <c r="P194" s="17" t="s">
        <v>33</v>
      </c>
      <c r="Q194" s="20" t="n">
        <f aca="false">DATE(D194,C194,B194)</f>
        <v>44305</v>
      </c>
      <c r="R194" s="17" t="str">
        <f aca="false">IF(HOUR(E194)&lt;6,"Madrugada (0-5 h)",IF(HOUR(E194)&lt;12,"Mañana (6-11 h)",IF(HOUR(E194)&lt;18,"Tarde (12-17 h)","Noche (18-23 h)")))</f>
        <v>Madrugada (0-5 h)</v>
      </c>
    </row>
    <row r="195" customFormat="false" ht="15" hidden="false" customHeight="false" outlineLevel="0" collapsed="false">
      <c r="A195" s="17" t="n">
        <v>1194</v>
      </c>
      <c r="B195" s="17" t="n">
        <v>24</v>
      </c>
      <c r="C195" s="17" t="n">
        <v>3</v>
      </c>
      <c r="D195" s="17" t="n">
        <v>2022</v>
      </c>
      <c r="E195" s="18" t="n">
        <v>0.511365740740741</v>
      </c>
      <c r="F195" s="17" t="n">
        <v>3925</v>
      </c>
      <c r="G195" s="17" t="s">
        <v>383</v>
      </c>
      <c r="H195" s="17" t="s">
        <v>384</v>
      </c>
      <c r="I195" s="17" t="s">
        <v>385</v>
      </c>
      <c r="J195" s="17" t="s">
        <v>386</v>
      </c>
      <c r="K195" s="17" t="n">
        <v>46</v>
      </c>
      <c r="L195" s="17" t="s">
        <v>31</v>
      </c>
      <c r="M195" s="17" t="s">
        <v>32</v>
      </c>
      <c r="N195" s="19" t="n">
        <v>2.01</v>
      </c>
      <c r="O195" s="19" t="n">
        <v>92.46</v>
      </c>
      <c r="P195" s="17" t="s">
        <v>33</v>
      </c>
      <c r="Q195" s="20" t="n">
        <f aca="false">DATE(D195,C195,B195)</f>
        <v>44644</v>
      </c>
      <c r="R195" s="17" t="str">
        <f aca="false">IF(HOUR(E195)&lt;6,"Madrugada (0-5 h)",IF(HOUR(E195)&lt;12,"Mañana (6-11 h)",IF(HOUR(E195)&lt;18,"Tarde (12-17 h)","Noche (18-23 h)")))</f>
        <v>Tarde (12-17 h)</v>
      </c>
    </row>
    <row r="196" customFormat="false" ht="15" hidden="false" customHeight="false" outlineLevel="0" collapsed="false">
      <c r="A196" s="17" t="n">
        <v>1195</v>
      </c>
      <c r="B196" s="17" t="n">
        <v>26</v>
      </c>
      <c r="C196" s="17" t="n">
        <v>5</v>
      </c>
      <c r="D196" s="17" t="n">
        <v>2022</v>
      </c>
      <c r="E196" s="18" t="n">
        <v>0.457094907407407</v>
      </c>
      <c r="F196" s="17" t="n">
        <v>2032</v>
      </c>
      <c r="G196" s="17" t="s">
        <v>387</v>
      </c>
      <c r="H196" s="17" t="s">
        <v>420</v>
      </c>
      <c r="I196" s="17" t="s">
        <v>389</v>
      </c>
      <c r="J196" s="17" t="s">
        <v>390</v>
      </c>
      <c r="K196" s="17" t="n">
        <v>21</v>
      </c>
      <c r="L196" s="17" t="s">
        <v>61</v>
      </c>
      <c r="M196" s="17" t="s">
        <v>32</v>
      </c>
      <c r="N196" s="19" t="n">
        <v>14.37</v>
      </c>
      <c r="O196" s="19" t="n">
        <v>301.77</v>
      </c>
      <c r="P196" s="17" t="s">
        <v>33</v>
      </c>
      <c r="Q196" s="20" t="n">
        <f aca="false">DATE(D196,C196,B196)</f>
        <v>44707</v>
      </c>
      <c r="R196" s="17" t="str">
        <f aca="false">IF(HOUR(E196)&lt;6,"Madrugada (0-5 h)",IF(HOUR(E196)&lt;12,"Mañana (6-11 h)",IF(HOUR(E196)&lt;18,"Tarde (12-17 h)","Noche (18-23 h)")))</f>
        <v>Mañana (6-11 h)</v>
      </c>
    </row>
    <row r="197" customFormat="false" ht="15" hidden="false" customHeight="false" outlineLevel="0" collapsed="false">
      <c r="A197" s="17" t="n">
        <v>1196</v>
      </c>
      <c r="B197" s="17" t="n">
        <v>10</v>
      </c>
      <c r="C197" s="17" t="n">
        <v>6</v>
      </c>
      <c r="D197" s="17" t="n">
        <v>2022</v>
      </c>
      <c r="E197" s="18" t="n">
        <v>0.289849537037037</v>
      </c>
      <c r="F197" s="17" t="n">
        <v>3690</v>
      </c>
      <c r="G197" s="17" t="s">
        <v>391</v>
      </c>
      <c r="H197" s="17" t="s">
        <v>392</v>
      </c>
      <c r="I197" s="17" t="s">
        <v>393</v>
      </c>
      <c r="J197" s="17" t="s">
        <v>394</v>
      </c>
      <c r="K197" s="17" t="n">
        <v>37</v>
      </c>
      <c r="L197" s="17" t="s">
        <v>61</v>
      </c>
      <c r="M197" s="17" t="s">
        <v>32</v>
      </c>
      <c r="N197" s="19" t="n">
        <v>2.03</v>
      </c>
      <c r="O197" s="19" t="n">
        <v>75.11</v>
      </c>
      <c r="P197" s="17" t="s">
        <v>33</v>
      </c>
      <c r="Q197" s="20" t="n">
        <f aca="false">DATE(D197,C197,B197)</f>
        <v>44722</v>
      </c>
      <c r="R197" s="17" t="str">
        <f aca="false">IF(HOUR(E197)&lt;6,"Madrugada (0-5 h)",IF(HOUR(E197)&lt;12,"Mañana (6-11 h)",IF(HOUR(E197)&lt;18,"Tarde (12-17 h)","Noche (18-23 h)")))</f>
        <v>Mañana (6-11 h)</v>
      </c>
    </row>
    <row r="198" customFormat="false" ht="15" hidden="false" customHeight="false" outlineLevel="0" collapsed="false">
      <c r="A198" s="17" t="n">
        <v>1197</v>
      </c>
      <c r="B198" s="17" t="n">
        <v>1</v>
      </c>
      <c r="C198" s="17" t="n">
        <v>10</v>
      </c>
      <c r="D198" s="17" t="n">
        <v>2021</v>
      </c>
      <c r="E198" s="18" t="n">
        <v>0.415914351851852</v>
      </c>
      <c r="F198" s="17" t="n">
        <v>2595</v>
      </c>
      <c r="G198" s="17" t="s">
        <v>395</v>
      </c>
      <c r="H198" s="17" t="s">
        <v>396</v>
      </c>
      <c r="I198" s="17" t="s">
        <v>397</v>
      </c>
      <c r="J198" s="17" t="s">
        <v>398</v>
      </c>
      <c r="K198" s="17" t="n">
        <v>19</v>
      </c>
      <c r="L198" s="17" t="s">
        <v>61</v>
      </c>
      <c r="M198" s="17" t="s">
        <v>32</v>
      </c>
      <c r="N198" s="19" t="n">
        <v>16.45</v>
      </c>
      <c r="O198" s="19" t="n">
        <v>312.55</v>
      </c>
      <c r="P198" s="17" t="s">
        <v>33</v>
      </c>
      <c r="Q198" s="20" t="n">
        <f aca="false">DATE(D198,C198,B198)</f>
        <v>44470</v>
      </c>
      <c r="R198" s="17" t="str">
        <f aca="false">IF(HOUR(E198)&lt;6,"Madrugada (0-5 h)",IF(HOUR(E198)&lt;12,"Mañana (6-11 h)",IF(HOUR(E198)&lt;18,"Tarde (12-17 h)","Noche (18-23 h)")))</f>
        <v>Mañana (6-11 h)</v>
      </c>
    </row>
    <row r="199" customFormat="false" ht="15" hidden="false" customHeight="false" outlineLevel="0" collapsed="false">
      <c r="A199" s="17" t="n">
        <v>1198</v>
      </c>
      <c r="B199" s="17" t="n">
        <v>9</v>
      </c>
      <c r="C199" s="17" t="n">
        <v>5</v>
      </c>
      <c r="D199" s="17" t="n">
        <v>2022</v>
      </c>
      <c r="E199" s="18" t="n">
        <v>0.30275462962963</v>
      </c>
      <c r="F199" s="17" t="n">
        <v>4171</v>
      </c>
      <c r="G199" s="17" t="s">
        <v>399</v>
      </c>
      <c r="H199" s="17" t="s">
        <v>400</v>
      </c>
      <c r="I199" s="17" t="s">
        <v>401</v>
      </c>
      <c r="J199" s="17" t="s">
        <v>402</v>
      </c>
      <c r="K199" s="17" t="n">
        <v>11</v>
      </c>
      <c r="L199" s="17" t="s">
        <v>98</v>
      </c>
      <c r="M199" s="17" t="s">
        <v>32</v>
      </c>
      <c r="N199" s="19" t="n">
        <v>15.52</v>
      </c>
      <c r="O199" s="19" t="n">
        <v>170.72</v>
      </c>
      <c r="P199" s="17" t="s">
        <v>43</v>
      </c>
      <c r="Q199" s="20" t="n">
        <f aca="false">DATE(D199,C199,B199)</f>
        <v>44690</v>
      </c>
      <c r="R199" s="17" t="str">
        <f aca="false">IF(HOUR(E199)&lt;6,"Madrugada (0-5 h)",IF(HOUR(E199)&lt;12,"Mañana (6-11 h)",IF(HOUR(E199)&lt;18,"Tarde (12-17 h)","Noche (18-23 h)")))</f>
        <v>Mañana (6-11 h)</v>
      </c>
    </row>
    <row r="200" customFormat="false" ht="15" hidden="false" customHeight="false" outlineLevel="0" collapsed="false">
      <c r="A200" s="17" t="n">
        <v>1199</v>
      </c>
      <c r="B200" s="17" t="n">
        <v>11</v>
      </c>
      <c r="C200" s="17" t="n">
        <v>11</v>
      </c>
      <c r="D200" s="17" t="n">
        <v>2021</v>
      </c>
      <c r="E200" s="18" t="n">
        <v>0.887395833333333</v>
      </c>
      <c r="F200" s="17" t="n">
        <v>1118</v>
      </c>
      <c r="G200" s="17" t="s">
        <v>403</v>
      </c>
      <c r="H200" s="17" t="s">
        <v>404</v>
      </c>
      <c r="I200" s="17" t="s">
        <v>405</v>
      </c>
      <c r="J200" s="17" t="s">
        <v>406</v>
      </c>
      <c r="K200" s="17" t="n">
        <v>10</v>
      </c>
      <c r="L200" s="17" t="s">
        <v>31</v>
      </c>
      <c r="M200" s="17" t="s">
        <v>333</v>
      </c>
      <c r="N200" s="19" t="n">
        <v>5.98</v>
      </c>
      <c r="O200" s="19" t="n">
        <v>59.8</v>
      </c>
      <c r="P200" s="17" t="s">
        <v>43</v>
      </c>
      <c r="Q200" s="20" t="n">
        <f aca="false">DATE(D200,C200,B200)</f>
        <v>44511</v>
      </c>
      <c r="R200" s="17" t="str">
        <f aca="false">IF(HOUR(E200)&lt;6,"Madrugada (0-5 h)",IF(HOUR(E200)&lt;12,"Mañana (6-11 h)",IF(HOUR(E200)&lt;18,"Tarde (12-17 h)","Noche (18-23 h)")))</f>
        <v>Noche (18-23 h)</v>
      </c>
    </row>
    <row r="201" customFormat="false" ht="15" hidden="false" customHeight="false" outlineLevel="0" collapsed="false">
      <c r="A201" s="17" t="n">
        <v>1200</v>
      </c>
      <c r="B201" s="17" t="n">
        <v>14</v>
      </c>
      <c r="C201" s="17" t="n">
        <v>9</v>
      </c>
      <c r="D201" s="17" t="n">
        <v>2021</v>
      </c>
      <c r="E201" s="18" t="n">
        <v>0.109618055555556</v>
      </c>
      <c r="F201" s="17" t="n">
        <v>1970</v>
      </c>
      <c r="G201" s="17" t="s">
        <v>407</v>
      </c>
      <c r="H201" s="17" t="s">
        <v>408</v>
      </c>
      <c r="I201" s="17" t="s">
        <v>409</v>
      </c>
      <c r="J201" s="17" t="s">
        <v>410</v>
      </c>
      <c r="K201" s="17" t="n">
        <v>6</v>
      </c>
      <c r="L201" s="17" t="s">
        <v>81</v>
      </c>
      <c r="M201" s="17" t="s">
        <v>333</v>
      </c>
      <c r="N201" s="19" t="n">
        <v>0.5</v>
      </c>
      <c r="O201" s="19" t="n">
        <v>3</v>
      </c>
      <c r="P201" s="17" t="s">
        <v>33</v>
      </c>
      <c r="Q201" s="20" t="n">
        <f aca="false">DATE(D201,C201,B201)</f>
        <v>44453</v>
      </c>
      <c r="R201" s="17" t="str">
        <f aca="false">IF(HOUR(E201)&lt;6,"Madrugada (0-5 h)",IF(HOUR(E201)&lt;12,"Mañana (6-11 h)",IF(HOUR(E201)&lt;18,"Tarde (12-17 h)","Noche (18-23 h)")))</f>
        <v>Madrugada (0-5 h)</v>
      </c>
    </row>
    <row r="202" customFormat="false" ht="15" hidden="false" customHeight="false" outlineLevel="0" collapsed="false">
      <c r="A202" s="17" t="n">
        <v>1201</v>
      </c>
      <c r="B202" s="17" t="n">
        <v>14</v>
      </c>
      <c r="C202" s="17" t="n">
        <v>4</v>
      </c>
      <c r="D202" s="17" t="n">
        <v>2020</v>
      </c>
      <c r="E202" s="18" t="n">
        <v>0.634780092592593</v>
      </c>
      <c r="F202" s="17" t="n">
        <v>2778</v>
      </c>
      <c r="G202" s="17" t="s">
        <v>27</v>
      </c>
      <c r="H202" s="17" t="s">
        <v>28</v>
      </c>
      <c r="I202" s="17" t="s">
        <v>29</v>
      </c>
      <c r="J202" s="17" t="s">
        <v>30</v>
      </c>
      <c r="K202" s="17" t="n">
        <v>9</v>
      </c>
      <c r="L202" s="17" t="s">
        <v>31</v>
      </c>
      <c r="M202" s="17" t="s">
        <v>32</v>
      </c>
      <c r="N202" s="19" t="n">
        <v>3.56</v>
      </c>
      <c r="O202" s="19" t="n">
        <v>32.04</v>
      </c>
      <c r="P202" s="17" t="s">
        <v>33</v>
      </c>
      <c r="Q202" s="20" t="n">
        <f aca="false">DATE(D202,C202,B202)</f>
        <v>43935</v>
      </c>
      <c r="R202" s="17" t="str">
        <f aca="false">IF(HOUR(E202)&lt;6,"Madrugada (0-5 h)",IF(HOUR(E202)&lt;12,"Mañana (6-11 h)",IF(HOUR(E202)&lt;18,"Tarde (12-17 h)","Noche (18-23 h)")))</f>
        <v>Tarde (12-17 h)</v>
      </c>
    </row>
    <row r="203" customFormat="false" ht="15" hidden="false" customHeight="false" outlineLevel="0" collapsed="false">
      <c r="A203" s="17" t="n">
        <v>1202</v>
      </c>
      <c r="B203" s="17" t="n">
        <v>27</v>
      </c>
      <c r="C203" s="17" t="n">
        <v>6</v>
      </c>
      <c r="D203" s="17" t="n">
        <v>2022</v>
      </c>
      <c r="E203" s="18" t="n">
        <v>0.0754398148148148</v>
      </c>
      <c r="F203" s="17" t="n">
        <v>3800</v>
      </c>
      <c r="G203" s="17" t="s">
        <v>34</v>
      </c>
      <c r="H203" s="17" t="s">
        <v>35</v>
      </c>
      <c r="I203" s="17" t="s">
        <v>36</v>
      </c>
      <c r="J203" s="17" t="s">
        <v>37</v>
      </c>
      <c r="K203" s="17" t="n">
        <v>49</v>
      </c>
      <c r="L203" s="17" t="s">
        <v>31</v>
      </c>
      <c r="M203" s="17" t="s">
        <v>32</v>
      </c>
      <c r="N203" s="19" t="n">
        <v>3.21</v>
      </c>
      <c r="O203" s="19" t="n">
        <v>157.29</v>
      </c>
      <c r="P203" s="17" t="s">
        <v>33</v>
      </c>
      <c r="Q203" s="20" t="n">
        <f aca="false">DATE(D203,C203,B203)</f>
        <v>44739</v>
      </c>
      <c r="R203" s="17" t="str">
        <f aca="false">IF(HOUR(E203)&lt;6,"Madrugada (0-5 h)",IF(HOUR(E203)&lt;12,"Mañana (6-11 h)",IF(HOUR(E203)&lt;18,"Tarde (12-17 h)","Noche (18-23 h)")))</f>
        <v>Madrugada (0-5 h)</v>
      </c>
    </row>
    <row r="204" customFormat="false" ht="15" hidden="false" customHeight="false" outlineLevel="0" collapsed="false">
      <c r="A204" s="17" t="n">
        <v>1203</v>
      </c>
      <c r="B204" s="17" t="n">
        <v>5</v>
      </c>
      <c r="C204" s="17" t="n">
        <v>3</v>
      </c>
      <c r="D204" s="17" t="n">
        <v>2022</v>
      </c>
      <c r="E204" s="18" t="n">
        <v>0.532361111111111</v>
      </c>
      <c r="F204" s="17" t="n">
        <v>4139</v>
      </c>
      <c r="G204" s="17" t="s">
        <v>38</v>
      </c>
      <c r="H204" s="17" t="s">
        <v>421</v>
      </c>
      <c r="I204" s="17" t="s">
        <v>40</v>
      </c>
      <c r="J204" s="17" t="s">
        <v>41</v>
      </c>
      <c r="K204" s="17" t="n">
        <v>20</v>
      </c>
      <c r="L204" s="17" t="s">
        <v>42</v>
      </c>
      <c r="M204" s="17" t="s">
        <v>32</v>
      </c>
      <c r="N204" s="19" t="n">
        <v>12.36</v>
      </c>
      <c r="O204" s="19" t="n">
        <v>247.2</v>
      </c>
      <c r="P204" s="17" t="s">
        <v>43</v>
      </c>
      <c r="Q204" s="20" t="n">
        <f aca="false">DATE(D204,C204,B204)</f>
        <v>44625</v>
      </c>
      <c r="R204" s="17" t="str">
        <f aca="false">IF(HOUR(E204)&lt;6,"Madrugada (0-5 h)",IF(HOUR(E204)&lt;12,"Mañana (6-11 h)",IF(HOUR(E204)&lt;18,"Tarde (12-17 h)","Noche (18-23 h)")))</f>
        <v>Tarde (12-17 h)</v>
      </c>
    </row>
    <row r="205" customFormat="false" ht="15" hidden="false" customHeight="false" outlineLevel="0" collapsed="false">
      <c r="A205" s="17" t="n">
        <v>1204</v>
      </c>
      <c r="B205" s="17" t="n">
        <v>11</v>
      </c>
      <c r="C205" s="17" t="n">
        <v>1</v>
      </c>
      <c r="D205" s="17" t="n">
        <v>2021</v>
      </c>
      <c r="E205" s="18" t="n">
        <v>0.108645833333333</v>
      </c>
      <c r="F205" s="17" t="n">
        <v>4192</v>
      </c>
      <c r="G205" s="17" t="s">
        <v>44</v>
      </c>
      <c r="H205" s="17" t="s">
        <v>45</v>
      </c>
      <c r="I205" s="17" t="s">
        <v>46</v>
      </c>
      <c r="J205" s="17" t="s">
        <v>47</v>
      </c>
      <c r="K205" s="17" t="n">
        <v>30</v>
      </c>
      <c r="L205" s="17" t="s">
        <v>31</v>
      </c>
      <c r="M205" s="17" t="s">
        <v>48</v>
      </c>
      <c r="N205" s="19" t="n">
        <v>10.03</v>
      </c>
      <c r="O205" s="19" t="n">
        <v>300.9</v>
      </c>
      <c r="P205" s="17" t="s">
        <v>33</v>
      </c>
      <c r="Q205" s="20" t="n">
        <f aca="false">DATE(D205,C205,B205)</f>
        <v>44207</v>
      </c>
      <c r="R205" s="17" t="str">
        <f aca="false">IF(HOUR(E205)&lt;6,"Madrugada (0-5 h)",IF(HOUR(E205)&lt;12,"Mañana (6-11 h)",IF(HOUR(E205)&lt;18,"Tarde (12-17 h)","Noche (18-23 h)")))</f>
        <v>Madrugada (0-5 h)</v>
      </c>
    </row>
    <row r="206" customFormat="false" ht="15" hidden="false" customHeight="false" outlineLevel="0" collapsed="false">
      <c r="A206" s="17" t="n">
        <v>1205</v>
      </c>
      <c r="B206" s="17" t="n">
        <v>15</v>
      </c>
      <c r="C206" s="17" t="n">
        <v>10</v>
      </c>
      <c r="D206" s="17" t="n">
        <v>2022</v>
      </c>
      <c r="E206" s="18" t="n">
        <v>0.0913888888888889</v>
      </c>
      <c r="F206" s="17" t="n">
        <v>3679</v>
      </c>
      <c r="G206" s="17" t="s">
        <v>49</v>
      </c>
      <c r="H206" s="17" t="s">
        <v>50</v>
      </c>
      <c r="I206" s="17" t="s">
        <v>51</v>
      </c>
      <c r="J206" s="17" t="s">
        <v>52</v>
      </c>
      <c r="K206" s="17" t="n">
        <v>45</v>
      </c>
      <c r="L206" s="17" t="s">
        <v>31</v>
      </c>
      <c r="M206" s="17" t="s">
        <v>48</v>
      </c>
      <c r="N206" s="19" t="n">
        <v>16.05</v>
      </c>
      <c r="O206" s="19" t="n">
        <v>722.25</v>
      </c>
      <c r="P206" s="17" t="s">
        <v>33</v>
      </c>
      <c r="Q206" s="20" t="n">
        <f aca="false">DATE(D206,C206,B206)</f>
        <v>44849</v>
      </c>
      <c r="R206" s="17" t="str">
        <f aca="false">IF(HOUR(E206)&lt;6,"Madrugada (0-5 h)",IF(HOUR(E206)&lt;12,"Mañana (6-11 h)",IF(HOUR(E206)&lt;18,"Tarde (12-17 h)","Noche (18-23 h)")))</f>
        <v>Madrugada (0-5 h)</v>
      </c>
    </row>
    <row r="207" customFormat="false" ht="15" hidden="false" customHeight="false" outlineLevel="0" collapsed="false">
      <c r="A207" s="17" t="n">
        <v>1206</v>
      </c>
      <c r="B207" s="17" t="n">
        <v>22</v>
      </c>
      <c r="C207" s="17" t="n">
        <v>11</v>
      </c>
      <c r="D207" s="17" t="n">
        <v>2022</v>
      </c>
      <c r="E207" s="18" t="n">
        <v>0.952939814814815</v>
      </c>
      <c r="F207" s="17" t="n">
        <v>3834</v>
      </c>
      <c r="G207" s="17" t="s">
        <v>53</v>
      </c>
      <c r="H207" s="17" t="s">
        <v>54</v>
      </c>
      <c r="I207" s="17" t="s">
        <v>55</v>
      </c>
      <c r="J207" s="17" t="s">
        <v>56</v>
      </c>
      <c r="K207" s="17" t="n">
        <v>33</v>
      </c>
      <c r="L207" s="17" t="s">
        <v>31</v>
      </c>
      <c r="M207" s="17" t="s">
        <v>48</v>
      </c>
      <c r="N207" s="19" t="n">
        <v>16.5</v>
      </c>
      <c r="O207" s="19" t="n">
        <v>544.5</v>
      </c>
      <c r="P207" s="17" t="s">
        <v>33</v>
      </c>
      <c r="Q207" s="20" t="n">
        <f aca="false">DATE(D207,C207,B207)</f>
        <v>44887</v>
      </c>
      <c r="R207" s="17" t="str">
        <f aca="false">IF(HOUR(E207)&lt;6,"Madrugada (0-5 h)",IF(HOUR(E207)&lt;12,"Mañana (6-11 h)",IF(HOUR(E207)&lt;18,"Tarde (12-17 h)","Noche (18-23 h)")))</f>
        <v>Noche (18-23 h)</v>
      </c>
    </row>
    <row r="208" customFormat="false" ht="15" hidden="false" customHeight="false" outlineLevel="0" collapsed="false">
      <c r="A208" s="17" t="n">
        <v>1207</v>
      </c>
      <c r="B208" s="17" t="n">
        <v>6</v>
      </c>
      <c r="C208" s="17" t="n">
        <v>6</v>
      </c>
      <c r="D208" s="17" t="n">
        <v>2022</v>
      </c>
      <c r="E208" s="18" t="n">
        <v>0.550659722222222</v>
      </c>
      <c r="F208" s="17" t="n">
        <v>3459</v>
      </c>
      <c r="G208" s="17" t="s">
        <v>57</v>
      </c>
      <c r="H208" s="17" t="s">
        <v>58</v>
      </c>
      <c r="I208" s="17" t="s">
        <v>59</v>
      </c>
      <c r="J208" s="17" t="s">
        <v>60</v>
      </c>
      <c r="K208" s="17" t="n">
        <v>45</v>
      </c>
      <c r="L208" s="17" t="s">
        <v>61</v>
      </c>
      <c r="M208" s="17" t="s">
        <v>62</v>
      </c>
      <c r="N208" s="19" t="n">
        <v>4.13</v>
      </c>
      <c r="O208" s="19" t="n">
        <v>185.85</v>
      </c>
      <c r="P208" s="17" t="s">
        <v>43</v>
      </c>
      <c r="Q208" s="20" t="n">
        <f aca="false">DATE(D208,C208,B208)</f>
        <v>44718</v>
      </c>
      <c r="R208" s="17" t="str">
        <f aca="false">IF(HOUR(E208)&lt;6,"Madrugada (0-5 h)",IF(HOUR(E208)&lt;12,"Mañana (6-11 h)",IF(HOUR(E208)&lt;18,"Tarde (12-17 h)","Noche (18-23 h)")))</f>
        <v>Tarde (12-17 h)</v>
      </c>
    </row>
    <row r="209" customFormat="false" ht="15" hidden="false" customHeight="false" outlineLevel="0" collapsed="false">
      <c r="A209" s="17" t="n">
        <v>1208</v>
      </c>
      <c r="B209" s="17" t="n">
        <v>6</v>
      </c>
      <c r="C209" s="17" t="n">
        <v>8</v>
      </c>
      <c r="D209" s="17" t="n">
        <v>2021</v>
      </c>
      <c r="E209" s="18" t="n">
        <v>0.562546296296296</v>
      </c>
      <c r="F209" s="17" t="n">
        <v>1397</v>
      </c>
      <c r="G209" s="17" t="s">
        <v>63</v>
      </c>
      <c r="H209" s="17" t="s">
        <v>64</v>
      </c>
      <c r="I209" s="17" t="s">
        <v>65</v>
      </c>
      <c r="J209" s="17" t="s">
        <v>66</v>
      </c>
      <c r="K209" s="17" t="n">
        <v>30</v>
      </c>
      <c r="L209" s="17" t="s">
        <v>61</v>
      </c>
      <c r="M209" s="17" t="s">
        <v>32</v>
      </c>
      <c r="N209" s="19" t="n">
        <v>11.5</v>
      </c>
      <c r="O209" s="19" t="n">
        <v>345</v>
      </c>
      <c r="P209" s="17" t="s">
        <v>33</v>
      </c>
      <c r="Q209" s="20" t="n">
        <f aca="false">DATE(D209,C209,B209)</f>
        <v>44414</v>
      </c>
      <c r="R209" s="17" t="str">
        <f aca="false">IF(HOUR(E209)&lt;6,"Madrugada (0-5 h)",IF(HOUR(E209)&lt;12,"Mañana (6-11 h)",IF(HOUR(E209)&lt;18,"Tarde (12-17 h)","Noche (18-23 h)")))</f>
        <v>Tarde (12-17 h)</v>
      </c>
    </row>
    <row r="210" customFormat="false" ht="15" hidden="false" customHeight="false" outlineLevel="0" collapsed="false">
      <c r="A210" s="17" t="n">
        <v>1209</v>
      </c>
      <c r="B210" s="17" t="n">
        <v>27</v>
      </c>
      <c r="C210" s="17" t="n">
        <v>6</v>
      </c>
      <c r="D210" s="17" t="n">
        <v>2022</v>
      </c>
      <c r="E210" s="18" t="n">
        <v>0.171296296296296</v>
      </c>
      <c r="F210" s="17" t="n">
        <v>2933</v>
      </c>
      <c r="G210" s="17" t="s">
        <v>67</v>
      </c>
      <c r="H210" s="17" t="s">
        <v>68</v>
      </c>
      <c r="I210" s="17" t="s">
        <v>69</v>
      </c>
      <c r="J210" s="17" t="s">
        <v>70</v>
      </c>
      <c r="K210" s="17" t="n">
        <v>24</v>
      </c>
      <c r="L210" s="17" t="s">
        <v>31</v>
      </c>
      <c r="M210" s="17" t="s">
        <v>71</v>
      </c>
      <c r="N210" s="19" t="n">
        <v>5.5</v>
      </c>
      <c r="O210" s="19" t="n">
        <v>132</v>
      </c>
      <c r="P210" s="17" t="s">
        <v>33</v>
      </c>
      <c r="Q210" s="20" t="n">
        <f aca="false">DATE(D210,C210,B210)</f>
        <v>44739</v>
      </c>
      <c r="R210" s="17" t="str">
        <f aca="false">IF(HOUR(E210)&lt;6,"Madrugada (0-5 h)",IF(HOUR(E210)&lt;12,"Mañana (6-11 h)",IF(HOUR(E210)&lt;18,"Tarde (12-17 h)","Noche (18-23 h)")))</f>
        <v>Madrugada (0-5 h)</v>
      </c>
    </row>
    <row r="211" customFormat="false" ht="15" hidden="false" customHeight="false" outlineLevel="0" collapsed="false">
      <c r="A211" s="17" t="n">
        <v>1210</v>
      </c>
      <c r="B211" s="17" t="n">
        <v>17</v>
      </c>
      <c r="C211" s="17" t="n">
        <v>10</v>
      </c>
      <c r="D211" s="17" t="n">
        <v>2022</v>
      </c>
      <c r="E211" s="18" t="n">
        <v>0.0987384259259259</v>
      </c>
      <c r="F211" s="17" t="n">
        <v>4943</v>
      </c>
      <c r="G211" s="17" t="s">
        <v>72</v>
      </c>
      <c r="H211" s="17" t="s">
        <v>73</v>
      </c>
      <c r="I211" s="17" t="s">
        <v>74</v>
      </c>
      <c r="J211" s="17" t="s">
        <v>75</v>
      </c>
      <c r="K211" s="17" t="n">
        <v>12</v>
      </c>
      <c r="L211" s="17" t="s">
        <v>61</v>
      </c>
      <c r="M211" s="17" t="s">
        <v>76</v>
      </c>
      <c r="N211" s="19" t="n">
        <v>13.71</v>
      </c>
      <c r="O211" s="19" t="n">
        <v>164.52</v>
      </c>
      <c r="P211" s="17" t="s">
        <v>33</v>
      </c>
      <c r="Q211" s="20" t="n">
        <f aca="false">DATE(D211,C211,B211)</f>
        <v>44851</v>
      </c>
      <c r="R211" s="17" t="str">
        <f aca="false">IF(HOUR(E211)&lt;6,"Madrugada (0-5 h)",IF(HOUR(E211)&lt;12,"Mañana (6-11 h)",IF(HOUR(E211)&lt;18,"Tarde (12-17 h)","Noche (18-23 h)")))</f>
        <v>Madrugada (0-5 h)</v>
      </c>
    </row>
    <row r="212" customFormat="false" ht="15" hidden="false" customHeight="false" outlineLevel="0" collapsed="false">
      <c r="A212" s="17" t="n">
        <v>1211</v>
      </c>
      <c r="B212" s="17" t="n">
        <v>7</v>
      </c>
      <c r="C212" s="17" t="n">
        <v>7</v>
      </c>
      <c r="D212" s="17" t="n">
        <v>2021</v>
      </c>
      <c r="E212" s="18" t="n">
        <v>0.351585648148148</v>
      </c>
      <c r="F212" s="17" t="n">
        <v>4157</v>
      </c>
      <c r="G212" s="17" t="s">
        <v>77</v>
      </c>
      <c r="H212" s="17" t="s">
        <v>78</v>
      </c>
      <c r="I212" s="17" t="s">
        <v>79</v>
      </c>
      <c r="J212" s="17" t="s">
        <v>80</v>
      </c>
      <c r="K212" s="17" t="n">
        <v>13</v>
      </c>
      <c r="L212" s="17" t="s">
        <v>412</v>
      </c>
      <c r="M212" s="17" t="s">
        <v>82</v>
      </c>
      <c r="N212" s="19" t="n">
        <v>7.89</v>
      </c>
      <c r="O212" s="19" t="n">
        <v>102.57</v>
      </c>
      <c r="P212" s="17" t="s">
        <v>33</v>
      </c>
      <c r="Q212" s="20" t="n">
        <f aca="false">DATE(D212,C212,B212)</f>
        <v>44384</v>
      </c>
      <c r="R212" s="17" t="str">
        <f aca="false">IF(HOUR(E212)&lt;6,"Madrugada (0-5 h)",IF(HOUR(E212)&lt;12,"Mañana (6-11 h)",IF(HOUR(E212)&lt;18,"Tarde (12-17 h)","Noche (18-23 h)")))</f>
        <v>Mañana (6-11 h)</v>
      </c>
    </row>
    <row r="213" customFormat="false" ht="15" hidden="false" customHeight="false" outlineLevel="0" collapsed="false">
      <c r="A213" s="17" t="n">
        <v>1212</v>
      </c>
      <c r="B213" s="17" t="n">
        <v>19</v>
      </c>
      <c r="C213" s="17" t="n">
        <v>7</v>
      </c>
      <c r="D213" s="17" t="n">
        <v>2022</v>
      </c>
      <c r="E213" s="18" t="n">
        <v>0.899884259259259</v>
      </c>
      <c r="F213" s="17" t="n">
        <v>3680</v>
      </c>
      <c r="G213" s="17" t="s">
        <v>83</v>
      </c>
      <c r="H213" s="17" t="s">
        <v>84</v>
      </c>
      <c r="I213" s="17" t="s">
        <v>85</v>
      </c>
      <c r="J213" s="17" t="s">
        <v>86</v>
      </c>
      <c r="K213" s="17" t="n">
        <v>23</v>
      </c>
      <c r="L213" s="17" t="s">
        <v>42</v>
      </c>
      <c r="M213" s="17" t="s">
        <v>32</v>
      </c>
      <c r="N213" s="19" t="n">
        <v>6</v>
      </c>
      <c r="O213" s="19" t="n">
        <v>138</v>
      </c>
      <c r="P213" s="17" t="s">
        <v>43</v>
      </c>
      <c r="Q213" s="20" t="n">
        <f aca="false">DATE(D213,C213,B213)</f>
        <v>44761</v>
      </c>
      <c r="R213" s="17" t="str">
        <f aca="false">IF(HOUR(E213)&lt;6,"Madrugada (0-5 h)",IF(HOUR(E213)&lt;12,"Mañana (6-11 h)",IF(HOUR(E213)&lt;18,"Tarde (12-17 h)","Noche (18-23 h)")))</f>
        <v>Noche (18-23 h)</v>
      </c>
    </row>
    <row r="214" customFormat="false" ht="15" hidden="false" customHeight="false" outlineLevel="0" collapsed="false">
      <c r="A214" s="17" t="n">
        <v>1213</v>
      </c>
      <c r="B214" s="17" t="n">
        <v>22</v>
      </c>
      <c r="C214" s="17" t="n">
        <v>5</v>
      </c>
      <c r="D214" s="17" t="n">
        <v>2021</v>
      </c>
      <c r="E214" s="18" t="n">
        <v>0.482511574074074</v>
      </c>
      <c r="F214" s="17" t="n">
        <v>3699</v>
      </c>
      <c r="G214" s="17" t="s">
        <v>87</v>
      </c>
      <c r="H214" s="17" t="s">
        <v>88</v>
      </c>
      <c r="I214" s="17" t="s">
        <v>89</v>
      </c>
      <c r="J214" s="17" t="s">
        <v>90</v>
      </c>
      <c r="K214" s="17" t="n">
        <v>32</v>
      </c>
      <c r="L214" s="17" t="s">
        <v>31</v>
      </c>
      <c r="M214" s="17" t="s">
        <v>48</v>
      </c>
      <c r="N214" s="19" t="n">
        <v>13.54</v>
      </c>
      <c r="O214" s="19" t="n">
        <v>433.28</v>
      </c>
      <c r="P214" s="17" t="s">
        <v>33</v>
      </c>
      <c r="Q214" s="20" t="n">
        <f aca="false">DATE(D214,C214,B214)</f>
        <v>44338</v>
      </c>
      <c r="R214" s="17" t="str">
        <f aca="false">IF(HOUR(E214)&lt;6,"Madrugada (0-5 h)",IF(HOUR(E214)&lt;12,"Mañana (6-11 h)",IF(HOUR(E214)&lt;18,"Tarde (12-17 h)","Noche (18-23 h)")))</f>
        <v>Mañana (6-11 h)</v>
      </c>
    </row>
    <row r="215" customFormat="false" ht="15" hidden="false" customHeight="false" outlineLevel="0" collapsed="false">
      <c r="A215" s="17" t="n">
        <v>1214</v>
      </c>
      <c r="B215" s="17" t="n">
        <v>24</v>
      </c>
      <c r="C215" s="17" t="n">
        <v>3</v>
      </c>
      <c r="D215" s="17" t="n">
        <v>2022</v>
      </c>
      <c r="E215" s="18" t="n">
        <v>0.630219907407407</v>
      </c>
      <c r="F215" s="17" t="n">
        <v>3833</v>
      </c>
      <c r="G215" s="17" t="s">
        <v>91</v>
      </c>
      <c r="H215" s="17" t="s">
        <v>92</v>
      </c>
      <c r="I215" s="17" t="s">
        <v>93</v>
      </c>
      <c r="J215" s="17" t="s">
        <v>94</v>
      </c>
      <c r="K215" s="17" t="n">
        <v>28</v>
      </c>
      <c r="L215" s="17" t="s">
        <v>61</v>
      </c>
      <c r="M215" s="17" t="s">
        <v>32</v>
      </c>
      <c r="N215" s="19" t="n">
        <v>4.12</v>
      </c>
      <c r="O215" s="19" t="n">
        <v>115.36</v>
      </c>
      <c r="P215" s="17" t="s">
        <v>33</v>
      </c>
      <c r="Q215" s="20" t="n">
        <f aca="false">DATE(D215,C215,B215)</f>
        <v>44644</v>
      </c>
      <c r="R215" s="17" t="str">
        <f aca="false">IF(HOUR(E215)&lt;6,"Madrugada (0-5 h)",IF(HOUR(E215)&lt;12,"Mañana (6-11 h)",IF(HOUR(E215)&lt;18,"Tarde (12-17 h)","Noche (18-23 h)")))</f>
        <v>Tarde (12-17 h)</v>
      </c>
    </row>
    <row r="216" customFormat="false" ht="15" hidden="false" customHeight="false" outlineLevel="0" collapsed="false">
      <c r="A216" s="17" t="n">
        <v>1215</v>
      </c>
      <c r="B216" s="17" t="n">
        <v>5</v>
      </c>
      <c r="C216" s="17" t="n">
        <v>10</v>
      </c>
      <c r="D216" s="17" t="n">
        <v>2022</v>
      </c>
      <c r="E216" s="18" t="n">
        <v>0.485659722222222</v>
      </c>
      <c r="F216" s="17" t="n">
        <v>1338</v>
      </c>
      <c r="G216" s="17" t="s">
        <v>95</v>
      </c>
      <c r="H216" s="17" t="s">
        <v>96</v>
      </c>
      <c r="I216" s="17" t="s">
        <v>97</v>
      </c>
      <c r="J216" s="17" t="s">
        <v>97</v>
      </c>
      <c r="K216" s="17" t="n">
        <v>5</v>
      </c>
      <c r="L216" s="17" t="s">
        <v>98</v>
      </c>
      <c r="M216" s="17" t="s">
        <v>48</v>
      </c>
      <c r="N216" s="19" t="n">
        <v>4.33</v>
      </c>
      <c r="O216" s="19" t="n">
        <v>21.65</v>
      </c>
      <c r="P216" s="17" t="s">
        <v>33</v>
      </c>
      <c r="Q216" s="20" t="n">
        <f aca="false">DATE(D216,C216,B216)</f>
        <v>44839</v>
      </c>
      <c r="R216" s="17" t="str">
        <f aca="false">IF(HOUR(E216)&lt;6,"Madrugada (0-5 h)",IF(HOUR(E216)&lt;12,"Mañana (6-11 h)",IF(HOUR(E216)&lt;18,"Tarde (12-17 h)","Noche (18-23 h)")))</f>
        <v>Mañana (6-11 h)</v>
      </c>
    </row>
    <row r="217" customFormat="false" ht="15" hidden="false" customHeight="false" outlineLevel="0" collapsed="false">
      <c r="A217" s="17" t="n">
        <v>1216</v>
      </c>
      <c r="B217" s="17" t="n">
        <v>9</v>
      </c>
      <c r="C217" s="17" t="n">
        <v>9</v>
      </c>
      <c r="D217" s="17" t="n">
        <v>2022</v>
      </c>
      <c r="E217" s="18" t="n">
        <v>0.425219907407407</v>
      </c>
      <c r="F217" s="17" t="n">
        <v>1347</v>
      </c>
      <c r="G217" s="17" t="s">
        <v>99</v>
      </c>
      <c r="H217" s="17" t="s">
        <v>100</v>
      </c>
      <c r="I217" s="17" t="s">
        <v>101</v>
      </c>
      <c r="J217" s="17" t="s">
        <v>102</v>
      </c>
      <c r="K217" s="17" t="n">
        <v>21</v>
      </c>
      <c r="L217" s="17" t="s">
        <v>103</v>
      </c>
      <c r="M217" s="17" t="s">
        <v>32</v>
      </c>
      <c r="N217" s="19" t="n">
        <v>6.97</v>
      </c>
      <c r="O217" s="19" t="n">
        <v>146.37</v>
      </c>
      <c r="P217" s="17" t="s">
        <v>43</v>
      </c>
      <c r="Q217" s="20" t="n">
        <f aca="false">DATE(D217,C217,B217)</f>
        <v>44813</v>
      </c>
      <c r="R217" s="17" t="str">
        <f aca="false">IF(HOUR(E217)&lt;6,"Madrugada (0-5 h)",IF(HOUR(E217)&lt;12,"Mañana (6-11 h)",IF(HOUR(E217)&lt;18,"Tarde (12-17 h)","Noche (18-23 h)")))</f>
        <v>Mañana (6-11 h)</v>
      </c>
    </row>
    <row r="218" customFormat="false" ht="15" hidden="false" customHeight="false" outlineLevel="0" collapsed="false">
      <c r="A218" s="17" t="n">
        <v>1217</v>
      </c>
      <c r="B218" s="17" t="n">
        <v>19</v>
      </c>
      <c r="C218" s="17" t="n">
        <v>9</v>
      </c>
      <c r="D218" s="17" t="n">
        <v>2022</v>
      </c>
      <c r="E218" s="18" t="n">
        <v>0.127071759259259</v>
      </c>
      <c r="F218" s="17" t="n">
        <v>2215</v>
      </c>
      <c r="G218" s="17" t="s">
        <v>104</v>
      </c>
      <c r="H218" s="17" t="s">
        <v>105</v>
      </c>
      <c r="I218" s="17" t="s">
        <v>106</v>
      </c>
      <c r="J218" s="17" t="s">
        <v>107</v>
      </c>
      <c r="K218" s="17" t="n">
        <v>45</v>
      </c>
      <c r="L218" s="17" t="s">
        <v>31</v>
      </c>
      <c r="M218" s="17" t="s">
        <v>32</v>
      </c>
      <c r="N218" s="19" t="n">
        <v>4.45</v>
      </c>
      <c r="O218" s="19" t="n">
        <v>200.25</v>
      </c>
      <c r="P218" s="17" t="s">
        <v>33</v>
      </c>
      <c r="Q218" s="20" t="n">
        <f aca="false">DATE(D218,C218,B218)</f>
        <v>44823</v>
      </c>
      <c r="R218" s="17" t="str">
        <f aca="false">IF(HOUR(E218)&lt;6,"Madrugada (0-5 h)",IF(HOUR(E218)&lt;12,"Mañana (6-11 h)",IF(HOUR(E218)&lt;18,"Tarde (12-17 h)","Noche (18-23 h)")))</f>
        <v>Madrugada (0-5 h)</v>
      </c>
    </row>
    <row r="219" customFormat="false" ht="15" hidden="false" customHeight="false" outlineLevel="0" collapsed="false">
      <c r="A219" s="17" t="n">
        <v>1218</v>
      </c>
      <c r="B219" s="17" t="n">
        <v>4</v>
      </c>
      <c r="C219" s="17" t="n">
        <v>7</v>
      </c>
      <c r="D219" s="17" t="n">
        <v>2021</v>
      </c>
      <c r="E219" s="18" t="n">
        <v>0.59943287037037</v>
      </c>
      <c r="F219" s="17" t="n">
        <v>4997</v>
      </c>
      <c r="G219" s="17" t="s">
        <v>108</v>
      </c>
      <c r="H219" s="17" t="s">
        <v>109</v>
      </c>
      <c r="I219" s="17" t="s">
        <v>110</v>
      </c>
      <c r="J219" s="17" t="s">
        <v>111</v>
      </c>
      <c r="K219" s="17" t="n">
        <v>17</v>
      </c>
      <c r="L219" s="17" t="s">
        <v>81</v>
      </c>
      <c r="M219" s="17" t="s">
        <v>82</v>
      </c>
      <c r="N219" s="19" t="n">
        <v>6.5</v>
      </c>
      <c r="O219" s="19" t="n">
        <v>110.5</v>
      </c>
      <c r="P219" s="17" t="s">
        <v>43</v>
      </c>
      <c r="Q219" s="20" t="n">
        <f aca="false">DATE(D219,C219,B219)</f>
        <v>44381</v>
      </c>
      <c r="R219" s="17" t="str">
        <f aca="false">IF(HOUR(E219)&lt;6,"Madrugada (0-5 h)",IF(HOUR(E219)&lt;12,"Mañana (6-11 h)",IF(HOUR(E219)&lt;18,"Tarde (12-17 h)","Noche (18-23 h)")))</f>
        <v>Tarde (12-17 h)</v>
      </c>
    </row>
    <row r="220" customFormat="false" ht="15" hidden="false" customHeight="false" outlineLevel="0" collapsed="false">
      <c r="A220" s="17" t="n">
        <v>1219</v>
      </c>
      <c r="B220" s="17" t="n">
        <v>10</v>
      </c>
      <c r="C220" s="17" t="n">
        <v>9</v>
      </c>
      <c r="D220" s="17" t="n">
        <v>2022</v>
      </c>
      <c r="E220" s="18" t="n">
        <v>0.0454398148148148</v>
      </c>
      <c r="F220" s="17" t="n">
        <v>3016</v>
      </c>
      <c r="G220" s="17" t="s">
        <v>112</v>
      </c>
      <c r="H220" s="17" t="s">
        <v>113</v>
      </c>
      <c r="I220" s="17" t="s">
        <v>114</v>
      </c>
      <c r="J220" s="17" t="s">
        <v>115</v>
      </c>
      <c r="K220" s="17" t="n">
        <v>19</v>
      </c>
      <c r="L220" s="17" t="s">
        <v>81</v>
      </c>
      <c r="M220" s="17" t="s">
        <v>116</v>
      </c>
      <c r="N220" s="19" t="n">
        <v>4.86</v>
      </c>
      <c r="O220" s="19" t="n">
        <v>92.34</v>
      </c>
      <c r="P220" s="17" t="s">
        <v>33</v>
      </c>
      <c r="Q220" s="20" t="n">
        <f aca="false">DATE(D220,C220,B220)</f>
        <v>44814</v>
      </c>
      <c r="R220" s="17" t="str">
        <f aca="false">IF(HOUR(E220)&lt;6,"Madrugada (0-5 h)",IF(HOUR(E220)&lt;12,"Mañana (6-11 h)",IF(HOUR(E220)&lt;18,"Tarde (12-17 h)","Noche (18-23 h)")))</f>
        <v>Madrugada (0-5 h)</v>
      </c>
    </row>
    <row r="221" customFormat="false" ht="15" hidden="false" customHeight="false" outlineLevel="0" collapsed="false">
      <c r="A221" s="17" t="n">
        <v>1220</v>
      </c>
      <c r="B221" s="17" t="n">
        <v>28</v>
      </c>
      <c r="C221" s="17" t="n">
        <v>6</v>
      </c>
      <c r="D221" s="17" t="n">
        <v>2021</v>
      </c>
      <c r="E221" s="18" t="n">
        <v>0.708888888888889</v>
      </c>
      <c r="F221" s="17" t="n">
        <v>2516</v>
      </c>
      <c r="G221" s="17" t="s">
        <v>117</v>
      </c>
      <c r="H221" s="17" t="s">
        <v>118</v>
      </c>
      <c r="I221" s="17" t="s">
        <v>119</v>
      </c>
      <c r="J221" s="17" t="s">
        <v>115</v>
      </c>
      <c r="K221" s="17" t="n">
        <v>40</v>
      </c>
      <c r="L221" s="17" t="s">
        <v>81</v>
      </c>
      <c r="M221" s="17" t="s">
        <v>120</v>
      </c>
      <c r="N221" s="19" t="n">
        <v>3.54</v>
      </c>
      <c r="O221" s="19" t="n">
        <v>141.6</v>
      </c>
      <c r="P221" s="17" t="s">
        <v>33</v>
      </c>
      <c r="Q221" s="20" t="n">
        <f aca="false">DATE(D221,C221,B221)</f>
        <v>44375</v>
      </c>
      <c r="R221" s="17" t="str">
        <f aca="false">IF(HOUR(E221)&lt;6,"Madrugada (0-5 h)",IF(HOUR(E221)&lt;12,"Mañana (6-11 h)",IF(HOUR(E221)&lt;18,"Tarde (12-17 h)","Noche (18-23 h)")))</f>
        <v>Tarde (12-17 h)</v>
      </c>
    </row>
    <row r="222" customFormat="false" ht="15" hidden="false" customHeight="false" outlineLevel="0" collapsed="false">
      <c r="A222" s="17" t="n">
        <v>1221</v>
      </c>
      <c r="B222" s="17" t="n">
        <v>25</v>
      </c>
      <c r="C222" s="17" t="n">
        <v>12</v>
      </c>
      <c r="D222" s="17" t="n">
        <v>2022</v>
      </c>
      <c r="E222" s="18" t="n">
        <v>0.11474537037037</v>
      </c>
      <c r="F222" s="17" t="n">
        <v>2287</v>
      </c>
      <c r="G222" s="17" t="s">
        <v>121</v>
      </c>
      <c r="H222" s="17" t="s">
        <v>122</v>
      </c>
      <c r="I222" s="17" t="s">
        <v>123</v>
      </c>
      <c r="J222" s="17" t="s">
        <v>124</v>
      </c>
      <c r="K222" s="17" t="n">
        <v>39</v>
      </c>
      <c r="L222" s="17" t="s">
        <v>125</v>
      </c>
      <c r="M222" s="17" t="s">
        <v>76</v>
      </c>
      <c r="N222" s="19" t="n">
        <v>7</v>
      </c>
      <c r="O222" s="19" t="n">
        <v>273</v>
      </c>
      <c r="P222" s="17" t="s">
        <v>33</v>
      </c>
      <c r="Q222" s="20" t="n">
        <f aca="false">DATE(D222,C222,B222)</f>
        <v>44920</v>
      </c>
      <c r="R222" s="17" t="str">
        <f aca="false">IF(HOUR(E222)&lt;6,"Madrugada (0-5 h)",IF(HOUR(E222)&lt;12,"Mañana (6-11 h)",IF(HOUR(E222)&lt;18,"Tarde (12-17 h)","Noche (18-23 h)")))</f>
        <v>Madrugada (0-5 h)</v>
      </c>
    </row>
    <row r="223" customFormat="false" ht="15" hidden="false" customHeight="false" outlineLevel="0" collapsed="false">
      <c r="A223" s="17" t="n">
        <v>1222</v>
      </c>
      <c r="B223" s="17" t="n">
        <v>22</v>
      </c>
      <c r="C223" s="17" t="n">
        <v>6</v>
      </c>
      <c r="D223" s="17" t="n">
        <v>2021</v>
      </c>
      <c r="E223" s="18" t="n">
        <v>0.602175925925926</v>
      </c>
      <c r="F223" s="17" t="n">
        <v>4435</v>
      </c>
      <c r="G223" s="17" t="s">
        <v>126</v>
      </c>
      <c r="H223" s="17" t="s">
        <v>127</v>
      </c>
      <c r="I223" s="17" t="s">
        <v>128</v>
      </c>
      <c r="J223" s="17" t="s">
        <v>129</v>
      </c>
      <c r="K223" s="17" t="n">
        <v>10</v>
      </c>
      <c r="L223" s="17" t="s">
        <v>98</v>
      </c>
      <c r="M223" s="17" t="s">
        <v>62</v>
      </c>
      <c r="N223" s="19" t="n">
        <v>3.05</v>
      </c>
      <c r="O223" s="19" t="n">
        <v>30.5</v>
      </c>
      <c r="P223" s="17" t="s">
        <v>33</v>
      </c>
      <c r="Q223" s="20" t="n">
        <f aca="false">DATE(D223,C223,B223)</f>
        <v>44369</v>
      </c>
      <c r="R223" s="17" t="str">
        <f aca="false">IF(HOUR(E223)&lt;6,"Madrugada (0-5 h)",IF(HOUR(E223)&lt;12,"Mañana (6-11 h)",IF(HOUR(E223)&lt;18,"Tarde (12-17 h)","Noche (18-23 h)")))</f>
        <v>Tarde (12-17 h)</v>
      </c>
    </row>
    <row r="224" customFormat="false" ht="15" hidden="false" customHeight="false" outlineLevel="0" collapsed="false">
      <c r="A224" s="17" t="n">
        <v>1223</v>
      </c>
      <c r="B224" s="17" t="n">
        <v>20</v>
      </c>
      <c r="C224" s="17" t="n">
        <v>7</v>
      </c>
      <c r="D224" s="17" t="n">
        <v>2022</v>
      </c>
      <c r="E224" s="18" t="n">
        <v>0.6615625</v>
      </c>
      <c r="F224" s="17" t="n">
        <v>2458</v>
      </c>
      <c r="G224" s="17" t="s">
        <v>130</v>
      </c>
      <c r="H224" s="17" t="s">
        <v>131</v>
      </c>
      <c r="I224" s="17" t="s">
        <v>132</v>
      </c>
      <c r="J224" s="17" t="s">
        <v>129</v>
      </c>
      <c r="K224" s="17" t="n">
        <v>44</v>
      </c>
      <c r="L224" s="17" t="s">
        <v>98</v>
      </c>
      <c r="M224" s="17" t="s">
        <v>62</v>
      </c>
      <c r="N224" s="19" t="n">
        <v>4.57</v>
      </c>
      <c r="O224" s="19" t="n">
        <v>201.08</v>
      </c>
      <c r="P224" s="17" t="s">
        <v>33</v>
      </c>
      <c r="Q224" s="20" t="n">
        <f aca="false">DATE(D224,C224,B224)</f>
        <v>44762</v>
      </c>
      <c r="R224" s="17" t="str">
        <f aca="false">IF(HOUR(E224)&lt;6,"Madrugada (0-5 h)",IF(HOUR(E224)&lt;12,"Mañana (6-11 h)",IF(HOUR(E224)&lt;18,"Tarde (12-17 h)","Noche (18-23 h)")))</f>
        <v>Tarde (12-17 h)</v>
      </c>
    </row>
    <row r="225" customFormat="false" ht="15" hidden="false" customHeight="false" outlineLevel="0" collapsed="false">
      <c r="A225" s="17" t="n">
        <v>1224</v>
      </c>
      <c r="B225" s="17" t="n">
        <v>6</v>
      </c>
      <c r="C225" s="17" t="n">
        <v>1</v>
      </c>
      <c r="D225" s="17" t="n">
        <v>2021</v>
      </c>
      <c r="E225" s="18" t="n">
        <v>0.67244212962963</v>
      </c>
      <c r="F225" s="17" t="n">
        <v>4125</v>
      </c>
      <c r="G225" s="17" t="s">
        <v>133</v>
      </c>
      <c r="H225" s="17" t="s">
        <v>134</v>
      </c>
      <c r="I225" s="17" t="s">
        <v>135</v>
      </c>
      <c r="J225" s="17" t="s">
        <v>136</v>
      </c>
      <c r="K225" s="17" t="n">
        <v>39</v>
      </c>
      <c r="L225" s="17" t="s">
        <v>81</v>
      </c>
      <c r="M225" s="17" t="s">
        <v>76</v>
      </c>
      <c r="N225" s="19" t="n">
        <v>9.89</v>
      </c>
      <c r="O225" s="19" t="n">
        <v>385.71</v>
      </c>
      <c r="P225" s="17" t="s">
        <v>33</v>
      </c>
      <c r="Q225" s="20" t="n">
        <f aca="false">DATE(D225,C225,B225)</f>
        <v>44202</v>
      </c>
      <c r="R225" s="17" t="str">
        <f aca="false">IF(HOUR(E225)&lt;6,"Madrugada (0-5 h)",IF(HOUR(E225)&lt;12,"Mañana (6-11 h)",IF(HOUR(E225)&lt;18,"Tarde (12-17 h)","Noche (18-23 h)")))</f>
        <v>Tarde (12-17 h)</v>
      </c>
    </row>
    <row r="226" customFormat="false" ht="15" hidden="false" customHeight="false" outlineLevel="0" collapsed="false">
      <c r="A226" s="17" t="n">
        <v>1225</v>
      </c>
      <c r="B226" s="17" t="n">
        <v>21</v>
      </c>
      <c r="C226" s="17" t="n">
        <v>3</v>
      </c>
      <c r="D226" s="17" t="n">
        <v>2022</v>
      </c>
      <c r="E226" s="18" t="n">
        <v>0.312233796296296</v>
      </c>
      <c r="F226" s="17" t="n">
        <v>4410</v>
      </c>
      <c r="G226" s="17" t="s">
        <v>137</v>
      </c>
      <c r="H226" s="21" t="s">
        <v>422</v>
      </c>
      <c r="I226" s="17" t="s">
        <v>139</v>
      </c>
      <c r="J226" s="17" t="s">
        <v>140</v>
      </c>
      <c r="K226" s="17" t="n">
        <v>19</v>
      </c>
      <c r="L226" s="17" t="s">
        <v>31</v>
      </c>
      <c r="M226" s="17" t="s">
        <v>32</v>
      </c>
      <c r="N226" s="19" t="n">
        <v>3.44</v>
      </c>
      <c r="O226" s="19" t="n">
        <v>65.36</v>
      </c>
      <c r="P226" s="17" t="s">
        <v>43</v>
      </c>
      <c r="Q226" s="20" t="n">
        <f aca="false">DATE(D226,C226,B226)</f>
        <v>44641</v>
      </c>
      <c r="R226" s="17" t="str">
        <f aca="false">IF(HOUR(E226)&lt;6,"Madrugada (0-5 h)",IF(HOUR(E226)&lt;12,"Mañana (6-11 h)",IF(HOUR(E226)&lt;18,"Tarde (12-17 h)","Noche (18-23 h)")))</f>
        <v>Mañana (6-11 h)</v>
      </c>
    </row>
    <row r="227" customFormat="false" ht="15" hidden="false" customHeight="false" outlineLevel="0" collapsed="false">
      <c r="A227" s="17" t="n">
        <v>1226</v>
      </c>
      <c r="B227" s="17" t="n">
        <v>12</v>
      </c>
      <c r="C227" s="17" t="n">
        <v>7</v>
      </c>
      <c r="D227" s="17" t="n">
        <v>2021</v>
      </c>
      <c r="E227" s="18" t="n">
        <v>0.497974537037037</v>
      </c>
      <c r="F227" s="17" t="n">
        <v>3195</v>
      </c>
      <c r="G227" s="17" t="s">
        <v>141</v>
      </c>
      <c r="H227" s="17" t="s">
        <v>142</v>
      </c>
      <c r="I227" s="17" t="s">
        <v>143</v>
      </c>
      <c r="J227" s="17" t="s">
        <v>144</v>
      </c>
      <c r="K227" s="17" t="n">
        <v>28</v>
      </c>
      <c r="L227" s="17" t="s">
        <v>42</v>
      </c>
      <c r="M227" s="17" t="s">
        <v>48</v>
      </c>
      <c r="N227" s="19" t="n">
        <v>8.88</v>
      </c>
      <c r="O227" s="19" t="n">
        <v>248.64</v>
      </c>
      <c r="P227" s="17" t="s">
        <v>33</v>
      </c>
      <c r="Q227" s="20" t="n">
        <f aca="false">DATE(D227,C227,B227)</f>
        <v>44389</v>
      </c>
      <c r="R227" s="17" t="str">
        <f aca="false">IF(HOUR(E227)&lt;6,"Madrugada (0-5 h)",IF(HOUR(E227)&lt;12,"Mañana (6-11 h)",IF(HOUR(E227)&lt;18,"Tarde (12-17 h)","Noche (18-23 h)")))</f>
        <v>Mañana (6-11 h)</v>
      </c>
    </row>
    <row r="228" customFormat="false" ht="15" hidden="false" customHeight="false" outlineLevel="0" collapsed="false">
      <c r="A228" s="17" t="n">
        <v>1227</v>
      </c>
      <c r="B228" s="17" t="n">
        <v>8</v>
      </c>
      <c r="C228" s="17" t="n">
        <v>4</v>
      </c>
      <c r="D228" s="17" t="n">
        <v>2021</v>
      </c>
      <c r="E228" s="18" t="n">
        <v>0.207916666666667</v>
      </c>
      <c r="F228" s="17" t="n">
        <v>3440</v>
      </c>
      <c r="G228" s="17" t="s">
        <v>145</v>
      </c>
      <c r="H228" s="17" t="s">
        <v>146</v>
      </c>
      <c r="I228" s="17" t="s">
        <v>147</v>
      </c>
      <c r="J228" s="17" t="s">
        <v>148</v>
      </c>
      <c r="K228" s="17" t="n">
        <v>27</v>
      </c>
      <c r="L228" s="17" t="s">
        <v>42</v>
      </c>
      <c r="M228" s="17" t="s">
        <v>48</v>
      </c>
      <c r="N228" s="19" t="n">
        <v>15.87</v>
      </c>
      <c r="O228" s="19" t="n">
        <v>428.49</v>
      </c>
      <c r="P228" s="17" t="s">
        <v>33</v>
      </c>
      <c r="Q228" s="20" t="n">
        <f aca="false">DATE(D228,C228,B228)</f>
        <v>44294</v>
      </c>
      <c r="R228" s="17" t="str">
        <f aca="false">IF(HOUR(E228)&lt;6,"Madrugada (0-5 h)",IF(HOUR(E228)&lt;12,"Mañana (6-11 h)",IF(HOUR(E228)&lt;18,"Tarde (12-17 h)","Noche (18-23 h)")))</f>
        <v>Madrugada (0-5 h)</v>
      </c>
    </row>
    <row r="229" customFormat="false" ht="15" hidden="false" customHeight="false" outlineLevel="0" collapsed="false">
      <c r="A229" s="17" t="n">
        <v>1228</v>
      </c>
      <c r="B229" s="17" t="n">
        <v>14</v>
      </c>
      <c r="C229" s="17" t="n">
        <v>11</v>
      </c>
      <c r="D229" s="17" t="n">
        <v>2022</v>
      </c>
      <c r="E229" s="18" t="n">
        <v>0.729594907407407</v>
      </c>
      <c r="F229" s="17" t="n">
        <v>2977</v>
      </c>
      <c r="G229" s="17" t="s">
        <v>149</v>
      </c>
      <c r="H229" s="17" t="s">
        <v>150</v>
      </c>
      <c r="I229" s="17" t="s">
        <v>151</v>
      </c>
      <c r="J229" s="17" t="s">
        <v>152</v>
      </c>
      <c r="K229" s="17" t="n">
        <v>35</v>
      </c>
      <c r="L229" s="17" t="s">
        <v>42</v>
      </c>
      <c r="M229" s="17" t="s">
        <v>32</v>
      </c>
      <c r="N229" s="19" t="n">
        <v>13.04</v>
      </c>
      <c r="O229" s="19" t="n">
        <v>456.4</v>
      </c>
      <c r="P229" s="17" t="s">
        <v>33</v>
      </c>
      <c r="Q229" s="20" t="n">
        <f aca="false">DATE(D229,C229,B229)</f>
        <v>44879</v>
      </c>
      <c r="R229" s="17" t="str">
        <f aca="false">IF(HOUR(E229)&lt;6,"Madrugada (0-5 h)",IF(HOUR(E229)&lt;12,"Mañana (6-11 h)",IF(HOUR(E229)&lt;18,"Tarde (12-17 h)","Noche (18-23 h)")))</f>
        <v>Tarde (12-17 h)</v>
      </c>
    </row>
    <row r="230" customFormat="false" ht="15" hidden="false" customHeight="false" outlineLevel="0" collapsed="false">
      <c r="A230" s="17" t="n">
        <v>1229</v>
      </c>
      <c r="B230" s="17" t="n">
        <v>26</v>
      </c>
      <c r="C230" s="17" t="n">
        <v>9</v>
      </c>
      <c r="D230" s="17" t="n">
        <v>2021</v>
      </c>
      <c r="E230" s="18" t="n">
        <v>0.242291666666667</v>
      </c>
      <c r="F230" s="17" t="n">
        <v>1228</v>
      </c>
      <c r="G230" s="17" t="s">
        <v>153</v>
      </c>
      <c r="H230" s="17" t="s">
        <v>154</v>
      </c>
      <c r="I230" s="17" t="s">
        <v>155</v>
      </c>
      <c r="J230" s="17" t="s">
        <v>155</v>
      </c>
      <c r="K230" s="17" t="n">
        <v>3</v>
      </c>
      <c r="L230" s="17" t="s">
        <v>42</v>
      </c>
      <c r="M230" s="17" t="s">
        <v>32</v>
      </c>
      <c r="N230" s="19" t="n">
        <v>9.31</v>
      </c>
      <c r="O230" s="19" t="n">
        <v>27.93</v>
      </c>
      <c r="P230" s="17" t="s">
        <v>43</v>
      </c>
      <c r="Q230" s="20" t="n">
        <f aca="false">DATE(D230,C230,B230)</f>
        <v>44465</v>
      </c>
      <c r="R230" s="17" t="str">
        <f aca="false">IF(HOUR(E230)&lt;6,"Madrugada (0-5 h)",IF(HOUR(E230)&lt;12,"Mañana (6-11 h)",IF(HOUR(E230)&lt;18,"Tarde (12-17 h)","Noche (18-23 h)")))</f>
        <v>Madrugada (0-5 h)</v>
      </c>
    </row>
    <row r="231" customFormat="false" ht="15" hidden="false" customHeight="false" outlineLevel="0" collapsed="false">
      <c r="A231" s="17" t="n">
        <v>1230</v>
      </c>
      <c r="B231" s="17" t="n">
        <v>17</v>
      </c>
      <c r="C231" s="17" t="n">
        <v>5</v>
      </c>
      <c r="D231" s="17" t="n">
        <v>2021</v>
      </c>
      <c r="E231" s="18" t="n">
        <v>0.952962962962963</v>
      </c>
      <c r="F231" s="17" t="n">
        <v>4048</v>
      </c>
      <c r="G231" s="17" t="s">
        <v>156</v>
      </c>
      <c r="H231" s="17" t="s">
        <v>157</v>
      </c>
      <c r="I231" s="17" t="s">
        <v>158</v>
      </c>
      <c r="J231" s="17" t="s">
        <v>159</v>
      </c>
      <c r="K231" s="17" t="n">
        <v>5</v>
      </c>
      <c r="L231" s="17" t="s">
        <v>125</v>
      </c>
      <c r="M231" s="17" t="s">
        <v>82</v>
      </c>
      <c r="N231" s="19" t="n">
        <v>8.51</v>
      </c>
      <c r="O231" s="19" t="n">
        <v>42.55</v>
      </c>
      <c r="P231" s="17" t="s">
        <v>33</v>
      </c>
      <c r="Q231" s="20" t="n">
        <f aca="false">DATE(D231,C231,B231)</f>
        <v>44333</v>
      </c>
      <c r="R231" s="17" t="str">
        <f aca="false">IF(HOUR(E231)&lt;6,"Madrugada (0-5 h)",IF(HOUR(E231)&lt;12,"Mañana (6-11 h)",IF(HOUR(E231)&lt;18,"Tarde (12-17 h)","Noche (18-23 h)")))</f>
        <v>Noche (18-23 h)</v>
      </c>
    </row>
    <row r="232" customFormat="false" ht="15" hidden="false" customHeight="false" outlineLevel="0" collapsed="false">
      <c r="A232" s="17" t="n">
        <v>1231</v>
      </c>
      <c r="B232" s="17" t="n">
        <v>23</v>
      </c>
      <c r="C232" s="17" t="n">
        <v>2</v>
      </c>
      <c r="D232" s="17" t="n">
        <v>2022</v>
      </c>
      <c r="E232" s="18" t="n">
        <v>0.868263888888889</v>
      </c>
      <c r="F232" s="17" t="n">
        <v>1336</v>
      </c>
      <c r="G232" s="17" t="s">
        <v>160</v>
      </c>
      <c r="H232" s="17" t="s">
        <v>161</v>
      </c>
      <c r="I232" s="17" t="s">
        <v>162</v>
      </c>
      <c r="J232" s="17" t="s">
        <v>163</v>
      </c>
      <c r="K232" s="17" t="n">
        <v>48</v>
      </c>
      <c r="L232" s="17" t="s">
        <v>42</v>
      </c>
      <c r="M232" s="17" t="s">
        <v>76</v>
      </c>
      <c r="N232" s="19" t="n">
        <v>15.63</v>
      </c>
      <c r="O232" s="19" t="n">
        <v>750.24</v>
      </c>
      <c r="P232" s="17" t="s">
        <v>33</v>
      </c>
      <c r="Q232" s="20" t="n">
        <f aca="false">DATE(D232,C232,B232)</f>
        <v>44615</v>
      </c>
      <c r="R232" s="17" t="str">
        <f aca="false">IF(HOUR(E232)&lt;6,"Madrugada (0-5 h)",IF(HOUR(E232)&lt;12,"Mañana (6-11 h)",IF(HOUR(E232)&lt;18,"Tarde (12-17 h)","Noche (18-23 h)")))</f>
        <v>Noche (18-23 h)</v>
      </c>
    </row>
    <row r="233" customFormat="false" ht="15" hidden="false" customHeight="false" outlineLevel="0" collapsed="false">
      <c r="A233" s="17" t="n">
        <v>1232</v>
      </c>
      <c r="B233" s="17" t="n">
        <v>3</v>
      </c>
      <c r="C233" s="17" t="n">
        <v>1</v>
      </c>
      <c r="D233" s="17" t="n">
        <v>2022</v>
      </c>
      <c r="E233" s="18" t="n">
        <v>0.233831018518519</v>
      </c>
      <c r="F233" s="17" t="n">
        <v>2490</v>
      </c>
      <c r="G233" s="17" t="s">
        <v>164</v>
      </c>
      <c r="H233" s="17" t="s">
        <v>165</v>
      </c>
      <c r="I233" s="17" t="s">
        <v>166</v>
      </c>
      <c r="J233" s="17" t="s">
        <v>167</v>
      </c>
      <c r="K233" s="17" t="n">
        <v>41</v>
      </c>
      <c r="L233" s="17" t="s">
        <v>81</v>
      </c>
      <c r="M233" s="17" t="s">
        <v>82</v>
      </c>
      <c r="N233" s="19" t="n">
        <v>6.99</v>
      </c>
      <c r="O233" s="19" t="n">
        <v>286.59</v>
      </c>
      <c r="P233" s="17" t="s">
        <v>33</v>
      </c>
      <c r="Q233" s="20" t="n">
        <f aca="false">DATE(D233,C233,B233)</f>
        <v>44564</v>
      </c>
      <c r="R233" s="17" t="str">
        <f aca="false">IF(HOUR(E233)&lt;6,"Madrugada (0-5 h)",IF(HOUR(E233)&lt;12,"Mañana (6-11 h)",IF(HOUR(E233)&lt;18,"Tarde (12-17 h)","Noche (18-23 h)")))</f>
        <v>Madrugada (0-5 h)</v>
      </c>
    </row>
    <row r="234" customFormat="false" ht="15" hidden="false" customHeight="false" outlineLevel="0" collapsed="false">
      <c r="A234" s="17" t="n">
        <v>1233</v>
      </c>
      <c r="B234" s="17" t="n">
        <v>26</v>
      </c>
      <c r="C234" s="17" t="n">
        <v>11</v>
      </c>
      <c r="D234" s="17" t="n">
        <v>2022</v>
      </c>
      <c r="E234" s="18" t="n">
        <v>0.899479166666667</v>
      </c>
      <c r="F234" s="17" t="n">
        <v>2051</v>
      </c>
      <c r="G234" s="17" t="s">
        <v>168</v>
      </c>
      <c r="H234" s="17" t="s">
        <v>169</v>
      </c>
      <c r="I234" s="17" t="s">
        <v>170</v>
      </c>
      <c r="J234" s="17" t="s">
        <v>171</v>
      </c>
      <c r="K234" s="17" t="n">
        <v>25</v>
      </c>
      <c r="L234" s="17" t="s">
        <v>31</v>
      </c>
      <c r="M234" s="17" t="s">
        <v>76</v>
      </c>
      <c r="N234" s="19" t="n">
        <v>6.84</v>
      </c>
      <c r="O234" s="19" t="n">
        <v>171</v>
      </c>
      <c r="P234" s="17" t="s">
        <v>33</v>
      </c>
      <c r="Q234" s="20" t="n">
        <f aca="false">DATE(D234,C234,B234)</f>
        <v>44891</v>
      </c>
      <c r="R234" s="17" t="str">
        <f aca="false">IF(HOUR(E234)&lt;6,"Madrugada (0-5 h)",IF(HOUR(E234)&lt;12,"Mañana (6-11 h)",IF(HOUR(E234)&lt;18,"Tarde (12-17 h)","Noche (18-23 h)")))</f>
        <v>Noche (18-23 h)</v>
      </c>
    </row>
    <row r="235" customFormat="false" ht="15" hidden="false" customHeight="false" outlineLevel="0" collapsed="false">
      <c r="A235" s="17" t="n">
        <v>1234</v>
      </c>
      <c r="B235" s="17" t="n">
        <v>11</v>
      </c>
      <c r="C235" s="17" t="n">
        <v>8</v>
      </c>
      <c r="D235" s="17" t="n">
        <v>2021</v>
      </c>
      <c r="E235" s="18" t="n">
        <v>0.314837962962963</v>
      </c>
      <c r="F235" s="17" t="n">
        <v>3801</v>
      </c>
      <c r="G235" s="17" t="s">
        <v>172</v>
      </c>
      <c r="H235" s="17" t="s">
        <v>173</v>
      </c>
      <c r="I235" s="17" t="s">
        <v>174</v>
      </c>
      <c r="J235" s="17" t="s">
        <v>175</v>
      </c>
      <c r="K235" s="17" t="n">
        <v>23</v>
      </c>
      <c r="L235" s="17" t="s">
        <v>31</v>
      </c>
      <c r="M235" s="17" t="s">
        <v>76</v>
      </c>
      <c r="N235" s="19" t="n">
        <v>5.5</v>
      </c>
      <c r="O235" s="19" t="n">
        <v>126.5</v>
      </c>
      <c r="P235" s="17" t="s">
        <v>33</v>
      </c>
      <c r="Q235" s="20" t="n">
        <f aca="false">DATE(D235,C235,B235)</f>
        <v>44419</v>
      </c>
      <c r="R235" s="17" t="str">
        <f aca="false">IF(HOUR(E235)&lt;6,"Madrugada (0-5 h)",IF(HOUR(E235)&lt;12,"Mañana (6-11 h)",IF(HOUR(E235)&lt;18,"Tarde (12-17 h)","Noche (18-23 h)")))</f>
        <v>Mañana (6-11 h)</v>
      </c>
    </row>
    <row r="236" customFormat="false" ht="15" hidden="false" customHeight="false" outlineLevel="0" collapsed="false">
      <c r="A236" s="17" t="n">
        <v>1235</v>
      </c>
      <c r="B236" s="17" t="n">
        <v>20</v>
      </c>
      <c r="C236" s="17" t="n">
        <v>4</v>
      </c>
      <c r="D236" s="17" t="n">
        <v>2022</v>
      </c>
      <c r="E236" s="18" t="n">
        <v>0.982094907407408</v>
      </c>
      <c r="F236" s="17" t="n">
        <v>4688</v>
      </c>
      <c r="G236" s="17" t="s">
        <v>176</v>
      </c>
      <c r="H236" s="17" t="s">
        <v>177</v>
      </c>
      <c r="I236" s="17" t="s">
        <v>178</v>
      </c>
      <c r="J236" s="17" t="s">
        <v>179</v>
      </c>
      <c r="K236" s="17" t="n">
        <v>27</v>
      </c>
      <c r="L236" s="17" t="s">
        <v>31</v>
      </c>
      <c r="M236" s="17" t="s">
        <v>76</v>
      </c>
      <c r="N236" s="19" t="n">
        <v>9.56</v>
      </c>
      <c r="O236" s="19" t="n">
        <v>258.12</v>
      </c>
      <c r="P236" s="17" t="s">
        <v>33</v>
      </c>
      <c r="Q236" s="20" t="n">
        <f aca="false">DATE(D236,C236,B236)</f>
        <v>44671</v>
      </c>
      <c r="R236" s="17" t="str">
        <f aca="false">IF(HOUR(E236)&lt;6,"Madrugada (0-5 h)",IF(HOUR(E236)&lt;12,"Mañana (6-11 h)",IF(HOUR(E236)&lt;18,"Tarde (12-17 h)","Noche (18-23 h)")))</f>
        <v>Noche (18-23 h)</v>
      </c>
    </row>
    <row r="237" customFormat="false" ht="15" hidden="false" customHeight="false" outlineLevel="0" collapsed="false">
      <c r="A237" s="17" t="n">
        <v>1236</v>
      </c>
      <c r="B237" s="17" t="n">
        <v>5</v>
      </c>
      <c r="C237" s="17" t="n">
        <v>1</v>
      </c>
      <c r="D237" s="17" t="n">
        <v>2021</v>
      </c>
      <c r="E237" s="18" t="n">
        <v>0.0898726851851852</v>
      </c>
      <c r="F237" s="17" t="n">
        <v>4676</v>
      </c>
      <c r="G237" s="17" t="s">
        <v>180</v>
      </c>
      <c r="H237" s="17" t="s">
        <v>181</v>
      </c>
      <c r="I237" s="17" t="s">
        <v>182</v>
      </c>
      <c r="J237" s="17" t="s">
        <v>183</v>
      </c>
      <c r="K237" s="17" t="n">
        <v>20</v>
      </c>
      <c r="L237" s="17" t="s">
        <v>31</v>
      </c>
      <c r="M237" s="17" t="s">
        <v>32</v>
      </c>
      <c r="N237" s="19" t="n">
        <v>3.43</v>
      </c>
      <c r="O237" s="19" t="n">
        <v>68.6</v>
      </c>
      <c r="P237" s="17" t="s">
        <v>33</v>
      </c>
      <c r="Q237" s="20" t="n">
        <f aca="false">DATE(D237,C237,B237)</f>
        <v>44201</v>
      </c>
      <c r="R237" s="17" t="str">
        <f aca="false">IF(HOUR(E237)&lt;6,"Madrugada (0-5 h)",IF(HOUR(E237)&lt;12,"Mañana (6-11 h)",IF(HOUR(E237)&lt;18,"Tarde (12-17 h)","Noche (18-23 h)")))</f>
        <v>Madrugada (0-5 h)</v>
      </c>
    </row>
    <row r="238" customFormat="false" ht="15" hidden="false" customHeight="false" outlineLevel="0" collapsed="false">
      <c r="A238" s="17" t="n">
        <v>1237</v>
      </c>
      <c r="B238" s="17" t="n">
        <v>4</v>
      </c>
      <c r="C238" s="17" t="n">
        <v>8</v>
      </c>
      <c r="D238" s="17" t="n">
        <v>2021</v>
      </c>
      <c r="E238" s="18" t="n">
        <v>0.742743055555556</v>
      </c>
      <c r="F238" s="17" t="n">
        <v>1948</v>
      </c>
      <c r="G238" s="17" t="s">
        <v>184</v>
      </c>
      <c r="H238" s="17" t="s">
        <v>185</v>
      </c>
      <c r="I238" s="17" t="s">
        <v>186</v>
      </c>
      <c r="J238" s="17" t="s">
        <v>187</v>
      </c>
      <c r="K238" s="17" t="n">
        <v>39</v>
      </c>
      <c r="L238" s="17" t="s">
        <v>81</v>
      </c>
      <c r="M238" s="17" t="s">
        <v>82</v>
      </c>
      <c r="N238" s="19" t="n">
        <v>1.23</v>
      </c>
      <c r="O238" s="19" t="n">
        <v>47.97</v>
      </c>
      <c r="P238" s="17" t="s">
        <v>33</v>
      </c>
      <c r="Q238" s="20" t="n">
        <f aca="false">DATE(D238,C238,B238)</f>
        <v>44412</v>
      </c>
      <c r="R238" s="17" t="str">
        <f aca="false">IF(HOUR(E238)&lt;6,"Madrugada (0-5 h)",IF(HOUR(E238)&lt;12,"Mañana (6-11 h)",IF(HOUR(E238)&lt;18,"Tarde (12-17 h)","Noche (18-23 h)")))</f>
        <v>Tarde (12-17 h)</v>
      </c>
    </row>
    <row r="239" customFormat="false" ht="15" hidden="false" customHeight="false" outlineLevel="0" collapsed="false">
      <c r="A239" s="17" t="n">
        <v>1238</v>
      </c>
      <c r="B239" s="17" t="n">
        <v>8</v>
      </c>
      <c r="C239" s="17" t="n">
        <v>9</v>
      </c>
      <c r="D239" s="17" t="n">
        <v>2021</v>
      </c>
      <c r="E239" s="18" t="n">
        <v>0.263634259259259</v>
      </c>
      <c r="F239" s="17" t="n">
        <v>4323</v>
      </c>
      <c r="G239" s="17" t="s">
        <v>188</v>
      </c>
      <c r="H239" s="17" t="s">
        <v>189</v>
      </c>
      <c r="I239" s="17" t="s">
        <v>190</v>
      </c>
      <c r="J239" s="17" t="s">
        <v>191</v>
      </c>
      <c r="K239" s="17" t="n">
        <v>35</v>
      </c>
      <c r="L239" s="17" t="s">
        <v>125</v>
      </c>
      <c r="M239" s="17" t="s">
        <v>76</v>
      </c>
      <c r="N239" s="19" t="n">
        <v>13.55</v>
      </c>
      <c r="O239" s="19" t="n">
        <v>474.25</v>
      </c>
      <c r="P239" s="17" t="s">
        <v>33</v>
      </c>
      <c r="Q239" s="20" t="n">
        <f aca="false">DATE(D239,C239,B239)</f>
        <v>44447</v>
      </c>
      <c r="R239" s="17" t="str">
        <f aca="false">IF(HOUR(E239)&lt;6,"Madrugada (0-5 h)",IF(HOUR(E239)&lt;12,"Mañana (6-11 h)",IF(HOUR(E239)&lt;18,"Tarde (12-17 h)","Noche (18-23 h)")))</f>
        <v>Mañana (6-11 h)</v>
      </c>
    </row>
    <row r="240" customFormat="false" ht="15" hidden="false" customHeight="false" outlineLevel="0" collapsed="false">
      <c r="A240" s="17" t="n">
        <v>1239</v>
      </c>
      <c r="B240" s="17" t="n">
        <v>19</v>
      </c>
      <c r="C240" s="17" t="n">
        <v>11</v>
      </c>
      <c r="D240" s="17" t="n">
        <v>2022</v>
      </c>
      <c r="E240" s="18" t="n">
        <v>0.482349537037037</v>
      </c>
      <c r="F240" s="17" t="n">
        <v>3743</v>
      </c>
      <c r="G240" s="17" t="s">
        <v>192</v>
      </c>
      <c r="H240" s="17" t="s">
        <v>193</v>
      </c>
      <c r="I240" s="17" t="s">
        <v>194</v>
      </c>
      <c r="J240" s="17" t="s">
        <v>195</v>
      </c>
      <c r="K240" s="17" t="n">
        <v>23</v>
      </c>
      <c r="L240" s="17" t="s">
        <v>31</v>
      </c>
      <c r="M240" s="17" t="s">
        <v>82</v>
      </c>
      <c r="N240" s="19" t="n">
        <v>6.78</v>
      </c>
      <c r="O240" s="19" t="n">
        <v>155.94</v>
      </c>
      <c r="P240" s="17" t="s">
        <v>33</v>
      </c>
      <c r="Q240" s="20" t="n">
        <f aca="false">DATE(D240,C240,B240)</f>
        <v>44884</v>
      </c>
      <c r="R240" s="17" t="str">
        <f aca="false">IF(HOUR(E240)&lt;6,"Madrugada (0-5 h)",IF(HOUR(E240)&lt;12,"Mañana (6-11 h)",IF(HOUR(E240)&lt;18,"Tarde (12-17 h)","Noche (18-23 h)")))</f>
        <v>Mañana (6-11 h)</v>
      </c>
    </row>
    <row r="241" customFormat="false" ht="15" hidden="false" customHeight="false" outlineLevel="0" collapsed="false">
      <c r="A241" s="17" t="n">
        <v>1240</v>
      </c>
      <c r="B241" s="17" t="n">
        <v>9</v>
      </c>
      <c r="C241" s="17" t="n">
        <v>4</v>
      </c>
      <c r="D241" s="17" t="n">
        <v>2022</v>
      </c>
      <c r="E241" s="18" t="n">
        <v>0.932997685185185</v>
      </c>
      <c r="F241" s="17" t="n">
        <v>3934</v>
      </c>
      <c r="G241" s="17" t="s">
        <v>196</v>
      </c>
      <c r="H241" s="17" t="s">
        <v>197</v>
      </c>
      <c r="I241" s="17" t="s">
        <v>198</v>
      </c>
      <c r="J241" s="17" t="s">
        <v>199</v>
      </c>
      <c r="K241" s="17" t="n">
        <v>16</v>
      </c>
      <c r="L241" s="17" t="s">
        <v>31</v>
      </c>
      <c r="M241" s="17" t="s">
        <v>32</v>
      </c>
      <c r="N241" s="19" t="n">
        <v>8.02</v>
      </c>
      <c r="O241" s="19" t="n">
        <v>128.32</v>
      </c>
      <c r="P241" s="17" t="s">
        <v>33</v>
      </c>
      <c r="Q241" s="20" t="n">
        <f aca="false">DATE(D241,C241,B241)</f>
        <v>44660</v>
      </c>
      <c r="R241" s="17" t="str">
        <f aca="false">IF(HOUR(E241)&lt;6,"Madrugada (0-5 h)",IF(HOUR(E241)&lt;12,"Mañana (6-11 h)",IF(HOUR(E241)&lt;18,"Tarde (12-17 h)","Noche (18-23 h)")))</f>
        <v>Noche (18-23 h)</v>
      </c>
    </row>
    <row r="242" customFormat="false" ht="15" hidden="false" customHeight="false" outlineLevel="0" collapsed="false">
      <c r="A242" s="17" t="n">
        <v>1241</v>
      </c>
      <c r="B242" s="17" t="n">
        <v>9</v>
      </c>
      <c r="C242" s="17" t="n">
        <v>12</v>
      </c>
      <c r="D242" s="17" t="n">
        <v>2022</v>
      </c>
      <c r="E242" s="18" t="n">
        <v>0.0781712962962963</v>
      </c>
      <c r="F242" s="17" t="n">
        <v>4378</v>
      </c>
      <c r="G242" s="17" t="s">
        <v>200</v>
      </c>
      <c r="H242" s="17" t="s">
        <v>201</v>
      </c>
      <c r="I242" s="17" t="s">
        <v>113</v>
      </c>
      <c r="J242" s="17" t="s">
        <v>202</v>
      </c>
      <c r="K242" s="17" t="n">
        <v>15</v>
      </c>
      <c r="L242" s="17" t="s">
        <v>31</v>
      </c>
      <c r="M242" s="17" t="s">
        <v>32</v>
      </c>
      <c r="N242" s="19" t="n">
        <v>7.76</v>
      </c>
      <c r="O242" s="19" t="n">
        <v>116.4</v>
      </c>
      <c r="P242" s="17" t="s">
        <v>33</v>
      </c>
      <c r="Q242" s="20" t="n">
        <f aca="false">DATE(D242,C242,B242)</f>
        <v>44904</v>
      </c>
      <c r="R242" s="17" t="str">
        <f aca="false">IF(HOUR(E242)&lt;6,"Madrugada (0-5 h)",IF(HOUR(E242)&lt;12,"Mañana (6-11 h)",IF(HOUR(E242)&lt;18,"Tarde (12-17 h)","Noche (18-23 h)")))</f>
        <v>Madrugada (0-5 h)</v>
      </c>
    </row>
    <row r="243" customFormat="false" ht="15" hidden="false" customHeight="false" outlineLevel="0" collapsed="false">
      <c r="A243" s="17" t="n">
        <v>1242</v>
      </c>
      <c r="B243" s="17" t="n">
        <v>4</v>
      </c>
      <c r="C243" s="17" t="n">
        <v>11</v>
      </c>
      <c r="D243" s="17" t="n">
        <v>2022</v>
      </c>
      <c r="E243" s="18" t="n">
        <v>0.270798611111111</v>
      </c>
      <c r="F243" s="17" t="n">
        <v>2382</v>
      </c>
      <c r="G243" s="17" t="s">
        <v>203</v>
      </c>
      <c r="H243" s="17" t="s">
        <v>423</v>
      </c>
      <c r="I243" s="17" t="s">
        <v>205</v>
      </c>
      <c r="J243" s="17" t="s">
        <v>206</v>
      </c>
      <c r="K243" s="17" t="n">
        <v>19</v>
      </c>
      <c r="L243" s="17" t="s">
        <v>42</v>
      </c>
      <c r="M243" s="17" t="s">
        <v>32</v>
      </c>
      <c r="N243" s="19" t="n">
        <v>8.87</v>
      </c>
      <c r="O243" s="19" t="n">
        <v>168.53</v>
      </c>
      <c r="P243" s="17" t="s">
        <v>33</v>
      </c>
      <c r="Q243" s="20" t="n">
        <f aca="false">DATE(D243,C243,B243)</f>
        <v>44869</v>
      </c>
      <c r="R243" s="17" t="str">
        <f aca="false">IF(HOUR(E243)&lt;6,"Madrugada (0-5 h)",IF(HOUR(E243)&lt;12,"Mañana (6-11 h)",IF(HOUR(E243)&lt;18,"Tarde (12-17 h)","Noche (18-23 h)")))</f>
        <v>Mañana (6-11 h)</v>
      </c>
    </row>
    <row r="244" customFormat="false" ht="15" hidden="false" customHeight="false" outlineLevel="0" collapsed="false">
      <c r="A244" s="17" t="n">
        <v>1243</v>
      </c>
      <c r="B244" s="17" t="n">
        <v>21</v>
      </c>
      <c r="C244" s="17" t="n">
        <v>11</v>
      </c>
      <c r="D244" s="17" t="n">
        <v>2021</v>
      </c>
      <c r="E244" s="18" t="n">
        <v>0.902708333333333</v>
      </c>
      <c r="F244" s="17" t="n">
        <v>1768</v>
      </c>
      <c r="G244" s="17" t="s">
        <v>207</v>
      </c>
      <c r="H244" s="17" t="s">
        <v>208</v>
      </c>
      <c r="I244" s="17" t="s">
        <v>209</v>
      </c>
      <c r="J244" s="17" t="s">
        <v>210</v>
      </c>
      <c r="K244" s="17" t="n">
        <v>26</v>
      </c>
      <c r="L244" s="17" t="s">
        <v>31</v>
      </c>
      <c r="M244" s="17" t="s">
        <v>32</v>
      </c>
      <c r="N244" s="19" t="n">
        <v>4.5</v>
      </c>
      <c r="O244" s="19" t="n">
        <v>117</v>
      </c>
      <c r="P244" s="17" t="s">
        <v>33</v>
      </c>
      <c r="Q244" s="20" t="n">
        <f aca="false">DATE(D244,C244,B244)</f>
        <v>44521</v>
      </c>
      <c r="R244" s="17" t="str">
        <f aca="false">IF(HOUR(E244)&lt;6,"Madrugada (0-5 h)",IF(HOUR(E244)&lt;12,"Mañana (6-11 h)",IF(HOUR(E244)&lt;18,"Tarde (12-17 h)","Noche (18-23 h)")))</f>
        <v>Noche (18-23 h)</v>
      </c>
    </row>
    <row r="245" customFormat="false" ht="15" hidden="false" customHeight="false" outlineLevel="0" collapsed="false">
      <c r="A245" s="17" t="n">
        <v>1244</v>
      </c>
      <c r="B245" s="17" t="n">
        <v>21</v>
      </c>
      <c r="C245" s="17" t="n">
        <v>5</v>
      </c>
      <c r="D245" s="17" t="n">
        <v>2021</v>
      </c>
      <c r="E245" s="18" t="n">
        <v>0.967615740740741</v>
      </c>
      <c r="F245" s="17" t="n">
        <v>2613</v>
      </c>
      <c r="G245" s="17" t="s">
        <v>211</v>
      </c>
      <c r="H245" s="17" t="s">
        <v>212</v>
      </c>
      <c r="I245" s="17" t="s">
        <v>213</v>
      </c>
      <c r="J245" s="17" t="s">
        <v>214</v>
      </c>
      <c r="K245" s="17" t="n">
        <v>41</v>
      </c>
      <c r="L245" s="17" t="s">
        <v>31</v>
      </c>
      <c r="M245" s="17" t="s">
        <v>32</v>
      </c>
      <c r="N245" s="19" t="n">
        <v>8.98</v>
      </c>
      <c r="O245" s="19" t="n">
        <v>368.18</v>
      </c>
      <c r="P245" s="17" t="s">
        <v>33</v>
      </c>
      <c r="Q245" s="20" t="n">
        <f aca="false">DATE(D245,C245,B245)</f>
        <v>44337</v>
      </c>
      <c r="R245" s="17" t="str">
        <f aca="false">IF(HOUR(E245)&lt;6,"Madrugada (0-5 h)",IF(HOUR(E245)&lt;12,"Mañana (6-11 h)",IF(HOUR(E245)&lt;18,"Tarde (12-17 h)","Noche (18-23 h)")))</f>
        <v>Noche (18-23 h)</v>
      </c>
    </row>
    <row r="246" customFormat="false" ht="15" hidden="false" customHeight="false" outlineLevel="0" collapsed="false">
      <c r="A246" s="17" t="n">
        <v>1245</v>
      </c>
      <c r="B246" s="17" t="n">
        <v>8</v>
      </c>
      <c r="C246" s="17" t="n">
        <v>10</v>
      </c>
      <c r="D246" s="17" t="n">
        <v>2021</v>
      </c>
      <c r="E246" s="18" t="n">
        <v>0.0729976851851852</v>
      </c>
      <c r="F246" s="17" t="n">
        <v>4151</v>
      </c>
      <c r="G246" s="17" t="s">
        <v>215</v>
      </c>
      <c r="H246" s="17" t="s">
        <v>197</v>
      </c>
      <c r="I246" s="17" t="s">
        <v>198</v>
      </c>
      <c r="J246" s="17" t="s">
        <v>199</v>
      </c>
      <c r="K246" s="17" t="n">
        <v>24</v>
      </c>
      <c r="L246" s="17" t="s">
        <v>31</v>
      </c>
      <c r="M246" s="17" t="s">
        <v>32</v>
      </c>
      <c r="N246" s="19" t="n">
        <v>5.87</v>
      </c>
      <c r="O246" s="19" t="n">
        <v>140.88</v>
      </c>
      <c r="P246" s="17" t="s">
        <v>33</v>
      </c>
      <c r="Q246" s="20" t="n">
        <f aca="false">DATE(D246,C246,B246)</f>
        <v>44477</v>
      </c>
      <c r="R246" s="17" t="str">
        <f aca="false">IF(HOUR(E246)&lt;6,"Madrugada (0-5 h)",IF(HOUR(E246)&lt;12,"Mañana (6-11 h)",IF(HOUR(E246)&lt;18,"Tarde (12-17 h)","Noche (18-23 h)")))</f>
        <v>Madrugada (0-5 h)</v>
      </c>
    </row>
    <row r="247" customFormat="false" ht="15" hidden="false" customHeight="false" outlineLevel="0" collapsed="false">
      <c r="A247" s="17" t="n">
        <v>1246</v>
      </c>
      <c r="B247" s="17" t="n">
        <v>19</v>
      </c>
      <c r="C247" s="17" t="n">
        <v>3</v>
      </c>
      <c r="D247" s="17" t="n">
        <v>2022</v>
      </c>
      <c r="E247" s="18" t="n">
        <v>0.688564814814815</v>
      </c>
      <c r="F247" s="17" t="n">
        <v>3375</v>
      </c>
      <c r="G247" s="17" t="s">
        <v>216</v>
      </c>
      <c r="H247" s="17" t="s">
        <v>217</v>
      </c>
      <c r="I247" s="17" t="s">
        <v>218</v>
      </c>
      <c r="J247" s="17" t="s">
        <v>219</v>
      </c>
      <c r="K247" s="17" t="n">
        <v>25</v>
      </c>
      <c r="L247" s="17" t="s">
        <v>98</v>
      </c>
      <c r="M247" s="17" t="s">
        <v>62</v>
      </c>
      <c r="N247" s="19" t="n">
        <v>2.31</v>
      </c>
      <c r="O247" s="19" t="n">
        <v>57.75</v>
      </c>
      <c r="P247" s="17" t="s">
        <v>33</v>
      </c>
      <c r="Q247" s="20" t="n">
        <f aca="false">DATE(D247,C247,B247)</f>
        <v>44639</v>
      </c>
      <c r="R247" s="17" t="str">
        <f aca="false">IF(HOUR(E247)&lt;6,"Madrugada (0-5 h)",IF(HOUR(E247)&lt;12,"Mañana (6-11 h)",IF(HOUR(E247)&lt;18,"Tarde (12-17 h)","Noche (18-23 h)")))</f>
        <v>Tarde (12-17 h)</v>
      </c>
    </row>
    <row r="248" customFormat="false" ht="15" hidden="false" customHeight="false" outlineLevel="0" collapsed="false">
      <c r="A248" s="17" t="n">
        <v>1247</v>
      </c>
      <c r="B248" s="17" t="n">
        <v>16</v>
      </c>
      <c r="C248" s="17" t="n">
        <v>9</v>
      </c>
      <c r="D248" s="17" t="n">
        <v>2022</v>
      </c>
      <c r="E248" s="18" t="n">
        <v>0.383553240740741</v>
      </c>
      <c r="F248" s="17" t="n">
        <v>3609</v>
      </c>
      <c r="G248" s="17" t="s">
        <v>220</v>
      </c>
      <c r="H248" s="17" t="s">
        <v>221</v>
      </c>
      <c r="I248" s="17" t="s">
        <v>222</v>
      </c>
      <c r="J248" s="17" t="s">
        <v>223</v>
      </c>
      <c r="K248" s="17" t="n">
        <v>20</v>
      </c>
      <c r="L248" s="17" t="s">
        <v>31</v>
      </c>
      <c r="M248" s="17" t="s">
        <v>32</v>
      </c>
      <c r="N248" s="19" t="n">
        <v>6.53</v>
      </c>
      <c r="O248" s="19" t="n">
        <v>130.6</v>
      </c>
      <c r="P248" s="17" t="s">
        <v>33</v>
      </c>
      <c r="Q248" s="20" t="n">
        <f aca="false">DATE(D248,C248,B248)</f>
        <v>44820</v>
      </c>
      <c r="R248" s="17" t="str">
        <f aca="false">IF(HOUR(E248)&lt;6,"Madrugada (0-5 h)",IF(HOUR(E248)&lt;12,"Mañana (6-11 h)",IF(HOUR(E248)&lt;18,"Tarde (12-17 h)","Noche (18-23 h)")))</f>
        <v>Mañana (6-11 h)</v>
      </c>
    </row>
    <row r="249" customFormat="false" ht="15" hidden="false" customHeight="false" outlineLevel="0" collapsed="false">
      <c r="A249" s="17" t="n">
        <v>1248</v>
      </c>
      <c r="B249" s="17" t="n">
        <v>20</v>
      </c>
      <c r="C249" s="17" t="n">
        <v>1</v>
      </c>
      <c r="D249" s="17" t="n">
        <v>2021</v>
      </c>
      <c r="E249" s="18" t="n">
        <v>0.623148148148148</v>
      </c>
      <c r="F249" s="17" t="n">
        <v>3503</v>
      </c>
      <c r="G249" s="17" t="s">
        <v>224</v>
      </c>
      <c r="H249" s="17" t="s">
        <v>225</v>
      </c>
      <c r="I249" s="17" t="s">
        <v>222</v>
      </c>
      <c r="J249" s="17" t="s">
        <v>223</v>
      </c>
      <c r="K249" s="17" t="n">
        <v>10</v>
      </c>
      <c r="L249" s="17" t="s">
        <v>31</v>
      </c>
      <c r="M249" s="17" t="s">
        <v>32</v>
      </c>
      <c r="N249" s="19" t="n">
        <v>2.45</v>
      </c>
      <c r="O249" s="19" t="n">
        <v>24.5</v>
      </c>
      <c r="P249" s="17" t="s">
        <v>33</v>
      </c>
      <c r="Q249" s="20" t="n">
        <f aca="false">DATE(D249,C249,B249)</f>
        <v>44216</v>
      </c>
      <c r="R249" s="17" t="str">
        <f aca="false">IF(HOUR(E249)&lt;6,"Madrugada (0-5 h)",IF(HOUR(E249)&lt;12,"Mañana (6-11 h)",IF(HOUR(E249)&lt;18,"Tarde (12-17 h)","Noche (18-23 h)")))</f>
        <v>Tarde (12-17 h)</v>
      </c>
    </row>
    <row r="250" customFormat="false" ht="15" hidden="false" customHeight="false" outlineLevel="0" collapsed="false">
      <c r="A250" s="17" t="n">
        <v>1249</v>
      </c>
      <c r="B250" s="17" t="n">
        <v>13</v>
      </c>
      <c r="C250" s="17" t="n">
        <v>1</v>
      </c>
      <c r="D250" s="17" t="n">
        <v>2022</v>
      </c>
      <c r="E250" s="18" t="n">
        <v>0.788148148148148</v>
      </c>
      <c r="F250" s="17" t="n">
        <v>2902</v>
      </c>
      <c r="G250" s="17" t="s">
        <v>226</v>
      </c>
      <c r="H250" s="17" t="s">
        <v>227</v>
      </c>
      <c r="I250" s="17" t="s">
        <v>228</v>
      </c>
      <c r="J250" s="17" t="s">
        <v>229</v>
      </c>
      <c r="K250" s="17" t="n">
        <v>8</v>
      </c>
      <c r="L250" s="17" t="s">
        <v>125</v>
      </c>
      <c r="M250" s="17" t="s">
        <v>76</v>
      </c>
      <c r="N250" s="19" t="n">
        <v>3.03</v>
      </c>
      <c r="O250" s="19" t="n">
        <v>24.24</v>
      </c>
      <c r="P250" s="17" t="s">
        <v>33</v>
      </c>
      <c r="Q250" s="20" t="n">
        <f aca="false">DATE(D250,C250,B250)</f>
        <v>44574</v>
      </c>
      <c r="R250" s="17" t="str">
        <f aca="false">IF(HOUR(E250)&lt;6,"Madrugada (0-5 h)",IF(HOUR(E250)&lt;12,"Mañana (6-11 h)",IF(HOUR(E250)&lt;18,"Tarde (12-17 h)","Noche (18-23 h)")))</f>
        <v>Noche (18-23 h)</v>
      </c>
    </row>
    <row r="251" customFormat="false" ht="15" hidden="false" customHeight="false" outlineLevel="0" collapsed="false">
      <c r="A251" s="17" t="n">
        <v>1250</v>
      </c>
      <c r="B251" s="17" t="n">
        <v>5</v>
      </c>
      <c r="C251" s="17" t="n">
        <v>11</v>
      </c>
      <c r="D251" s="17" t="n">
        <v>2021</v>
      </c>
      <c r="E251" s="18" t="n">
        <v>0.065462962962963</v>
      </c>
      <c r="F251" s="17" t="n">
        <v>3543</v>
      </c>
      <c r="G251" s="17" t="s">
        <v>230</v>
      </c>
      <c r="H251" s="17" t="s">
        <v>231</v>
      </c>
      <c r="I251" s="17" t="s">
        <v>232</v>
      </c>
      <c r="J251" s="17" t="s">
        <v>233</v>
      </c>
      <c r="K251" s="17" t="n">
        <v>22</v>
      </c>
      <c r="L251" s="17" t="s">
        <v>81</v>
      </c>
      <c r="M251" s="17" t="s">
        <v>76</v>
      </c>
      <c r="N251" s="19" t="n">
        <v>5.42</v>
      </c>
      <c r="O251" s="19" t="n">
        <v>119.24</v>
      </c>
      <c r="P251" s="17" t="s">
        <v>33</v>
      </c>
      <c r="Q251" s="20" t="n">
        <f aca="false">DATE(D251,C251,B251)</f>
        <v>44505</v>
      </c>
      <c r="R251" s="17" t="str">
        <f aca="false">IF(HOUR(E251)&lt;6,"Madrugada (0-5 h)",IF(HOUR(E251)&lt;12,"Mañana (6-11 h)",IF(HOUR(E251)&lt;18,"Tarde (12-17 h)","Noche (18-23 h)")))</f>
        <v>Madrugada (0-5 h)</v>
      </c>
    </row>
    <row r="252" customFormat="false" ht="15" hidden="false" customHeight="false" outlineLevel="0" collapsed="false">
      <c r="A252" s="17" t="n">
        <v>1251</v>
      </c>
      <c r="B252" s="17" t="n">
        <v>21</v>
      </c>
      <c r="C252" s="17" t="n">
        <v>12</v>
      </c>
      <c r="D252" s="17" t="n">
        <v>2021</v>
      </c>
      <c r="E252" s="18" t="n">
        <v>0.908622685185185</v>
      </c>
      <c r="F252" s="17" t="n">
        <v>4646</v>
      </c>
      <c r="G252" s="17" t="s">
        <v>234</v>
      </c>
      <c r="H252" s="17" t="s">
        <v>235</v>
      </c>
      <c r="I252" s="17" t="s">
        <v>236</v>
      </c>
      <c r="J252" s="17" t="s">
        <v>237</v>
      </c>
      <c r="K252" s="17" t="n">
        <v>39</v>
      </c>
      <c r="L252" s="17" t="s">
        <v>81</v>
      </c>
      <c r="M252" s="17" t="s">
        <v>82</v>
      </c>
      <c r="N252" s="19" t="n">
        <v>25.45</v>
      </c>
      <c r="O252" s="19" t="n">
        <v>992.55</v>
      </c>
      <c r="P252" s="17" t="s">
        <v>33</v>
      </c>
      <c r="Q252" s="20" t="n">
        <f aca="false">DATE(D252,C252,B252)</f>
        <v>44551</v>
      </c>
      <c r="R252" s="17" t="str">
        <f aca="false">IF(HOUR(E252)&lt;6,"Madrugada (0-5 h)",IF(HOUR(E252)&lt;12,"Mañana (6-11 h)",IF(HOUR(E252)&lt;18,"Tarde (12-17 h)","Noche (18-23 h)")))</f>
        <v>Noche (18-23 h)</v>
      </c>
    </row>
    <row r="253" customFormat="false" ht="15" hidden="false" customHeight="false" outlineLevel="0" collapsed="false">
      <c r="A253" s="17" t="n">
        <v>1252</v>
      </c>
      <c r="B253" s="17" t="n">
        <v>21</v>
      </c>
      <c r="C253" s="17" t="n">
        <v>5</v>
      </c>
      <c r="D253" s="17" t="n">
        <v>2022</v>
      </c>
      <c r="E253" s="18" t="n">
        <v>0.129421296296296</v>
      </c>
      <c r="F253" s="17" t="n">
        <v>4384</v>
      </c>
      <c r="G253" s="17" t="s">
        <v>238</v>
      </c>
      <c r="H253" s="17" t="s">
        <v>239</v>
      </c>
      <c r="I253" s="17" t="s">
        <v>240</v>
      </c>
      <c r="J253" s="17" t="s">
        <v>241</v>
      </c>
      <c r="K253" s="17" t="n">
        <v>2</v>
      </c>
      <c r="L253" s="17" t="s">
        <v>81</v>
      </c>
      <c r="M253" s="17" t="s">
        <v>82</v>
      </c>
      <c r="N253" s="19" t="n">
        <v>18.05</v>
      </c>
      <c r="O253" s="19" t="n">
        <v>36.1</v>
      </c>
      <c r="P253" s="17" t="s">
        <v>33</v>
      </c>
      <c r="Q253" s="20" t="n">
        <f aca="false">DATE(D253,C253,B253)</f>
        <v>44702</v>
      </c>
      <c r="R253" s="17" t="str">
        <f aca="false">IF(HOUR(E253)&lt;6,"Madrugada (0-5 h)",IF(HOUR(E253)&lt;12,"Mañana (6-11 h)",IF(HOUR(E253)&lt;18,"Tarde (12-17 h)","Noche (18-23 h)")))</f>
        <v>Madrugada (0-5 h)</v>
      </c>
    </row>
    <row r="254" customFormat="false" ht="15" hidden="false" customHeight="false" outlineLevel="0" collapsed="false">
      <c r="A254" s="17" t="n">
        <v>1253</v>
      </c>
      <c r="B254" s="17" t="n">
        <v>23</v>
      </c>
      <c r="C254" s="17" t="n">
        <v>6</v>
      </c>
      <c r="D254" s="17" t="n">
        <v>2021</v>
      </c>
      <c r="E254" s="18" t="n">
        <v>0.377627314814815</v>
      </c>
      <c r="F254" s="17" t="n">
        <v>3414</v>
      </c>
      <c r="G254" s="17" t="s">
        <v>242</v>
      </c>
      <c r="H254" s="17" t="s">
        <v>243</v>
      </c>
      <c r="I254" s="17" t="s">
        <v>244</v>
      </c>
      <c r="J254" s="17" t="s">
        <v>245</v>
      </c>
      <c r="K254" s="17" t="n">
        <v>49</v>
      </c>
      <c r="L254" s="17" t="s">
        <v>81</v>
      </c>
      <c r="M254" s="17" t="s">
        <v>76</v>
      </c>
      <c r="N254" s="19" t="n">
        <v>5.38</v>
      </c>
      <c r="O254" s="19" t="n">
        <v>263.62</v>
      </c>
      <c r="P254" s="17" t="s">
        <v>33</v>
      </c>
      <c r="Q254" s="20" t="n">
        <f aca="false">DATE(D254,C254,B254)</f>
        <v>44370</v>
      </c>
      <c r="R254" s="17" t="str">
        <f aca="false">IF(HOUR(E254)&lt;6,"Madrugada (0-5 h)",IF(HOUR(E254)&lt;12,"Mañana (6-11 h)",IF(HOUR(E254)&lt;18,"Tarde (12-17 h)","Noche (18-23 h)")))</f>
        <v>Mañana (6-11 h)</v>
      </c>
    </row>
    <row r="255" customFormat="false" ht="15" hidden="false" customHeight="false" outlineLevel="0" collapsed="false">
      <c r="A255" s="17" t="n">
        <v>1254</v>
      </c>
      <c r="B255" s="17" t="n">
        <v>5</v>
      </c>
      <c r="C255" s="17" t="n">
        <v>3</v>
      </c>
      <c r="D255" s="17" t="n">
        <v>2022</v>
      </c>
      <c r="E255" s="18" t="n">
        <v>0.464965277777778</v>
      </c>
      <c r="F255" s="17" t="n">
        <v>3272</v>
      </c>
      <c r="G255" s="17" t="s">
        <v>246</v>
      </c>
      <c r="H255" s="17" t="s">
        <v>424</v>
      </c>
      <c r="I255" s="17" t="s">
        <v>244</v>
      </c>
      <c r="J255" s="17" t="s">
        <v>248</v>
      </c>
      <c r="K255" s="17" t="n">
        <v>10</v>
      </c>
      <c r="L255" s="17" t="s">
        <v>81</v>
      </c>
      <c r="M255" s="17" t="s">
        <v>76</v>
      </c>
      <c r="N255" s="19" t="n">
        <v>9.89</v>
      </c>
      <c r="O255" s="19" t="n">
        <v>98.9</v>
      </c>
      <c r="P255" s="17" t="s">
        <v>33</v>
      </c>
      <c r="Q255" s="20" t="n">
        <f aca="false">DATE(D255,C255,B255)</f>
        <v>44625</v>
      </c>
      <c r="R255" s="17" t="str">
        <f aca="false">IF(HOUR(E255)&lt;6,"Madrugada (0-5 h)",IF(HOUR(E255)&lt;12,"Mañana (6-11 h)",IF(HOUR(E255)&lt;18,"Tarde (12-17 h)","Noche (18-23 h)")))</f>
        <v>Mañana (6-11 h)</v>
      </c>
    </row>
    <row r="256" customFormat="false" ht="15" hidden="false" customHeight="false" outlineLevel="0" collapsed="false">
      <c r="A256" s="17" t="n">
        <v>1255</v>
      </c>
      <c r="B256" s="17" t="n">
        <v>27</v>
      </c>
      <c r="C256" s="17" t="n">
        <v>11</v>
      </c>
      <c r="D256" s="17" t="n">
        <v>2022</v>
      </c>
      <c r="E256" s="18" t="n">
        <v>0.259560185185185</v>
      </c>
      <c r="F256" s="17" t="n">
        <v>4054</v>
      </c>
      <c r="G256" s="17" t="s">
        <v>249</v>
      </c>
      <c r="H256" s="17" t="s">
        <v>250</v>
      </c>
      <c r="I256" s="17" t="s">
        <v>251</v>
      </c>
      <c r="J256" s="17" t="s">
        <v>252</v>
      </c>
      <c r="K256" s="17" t="n">
        <v>48</v>
      </c>
      <c r="L256" s="17" t="s">
        <v>125</v>
      </c>
      <c r="M256" s="17" t="s">
        <v>82</v>
      </c>
      <c r="N256" s="19" t="n">
        <v>25.45</v>
      </c>
      <c r="O256" s="19" t="n">
        <v>1221.6</v>
      </c>
      <c r="P256" s="17" t="s">
        <v>33</v>
      </c>
      <c r="Q256" s="20" t="n">
        <f aca="false">DATE(D256,C256,B256)</f>
        <v>44892</v>
      </c>
      <c r="R256" s="17" t="str">
        <f aca="false">IF(HOUR(E256)&lt;6,"Madrugada (0-5 h)",IF(HOUR(E256)&lt;12,"Mañana (6-11 h)",IF(HOUR(E256)&lt;18,"Tarde (12-17 h)","Noche (18-23 h)")))</f>
        <v>Mañana (6-11 h)</v>
      </c>
    </row>
    <row r="257" customFormat="false" ht="15" hidden="false" customHeight="false" outlineLevel="0" collapsed="false">
      <c r="A257" s="17" t="n">
        <v>1256</v>
      </c>
      <c r="B257" s="17" t="n">
        <v>10</v>
      </c>
      <c r="C257" s="17" t="n">
        <v>4</v>
      </c>
      <c r="D257" s="17" t="n">
        <v>2022</v>
      </c>
      <c r="E257" s="18" t="n">
        <v>0.0505555555555556</v>
      </c>
      <c r="F257" s="17" t="n">
        <v>1437</v>
      </c>
      <c r="G257" s="17" t="s">
        <v>253</v>
      </c>
      <c r="H257" s="17" t="s">
        <v>250</v>
      </c>
      <c r="I257" s="17" t="s">
        <v>254</v>
      </c>
      <c r="J257" s="17" t="s">
        <v>255</v>
      </c>
      <c r="K257" s="17" t="n">
        <v>7</v>
      </c>
      <c r="L257" s="17" t="s">
        <v>125</v>
      </c>
      <c r="M257" s="17" t="s">
        <v>82</v>
      </c>
      <c r="N257" s="19" t="n">
        <v>16.34</v>
      </c>
      <c r="O257" s="19" t="n">
        <v>114.38</v>
      </c>
      <c r="P257" s="17" t="s">
        <v>33</v>
      </c>
      <c r="Q257" s="20" t="n">
        <f aca="false">DATE(D257,C257,B257)</f>
        <v>44661</v>
      </c>
      <c r="R257" s="17" t="str">
        <f aca="false">IF(HOUR(E257)&lt;6,"Madrugada (0-5 h)",IF(HOUR(E257)&lt;12,"Mañana (6-11 h)",IF(HOUR(E257)&lt;18,"Tarde (12-17 h)","Noche (18-23 h)")))</f>
        <v>Madrugada (0-5 h)</v>
      </c>
    </row>
    <row r="258" customFormat="false" ht="15" hidden="false" customHeight="false" outlineLevel="0" collapsed="false">
      <c r="A258" s="17" t="n">
        <v>1257</v>
      </c>
      <c r="B258" s="17" t="n">
        <v>18</v>
      </c>
      <c r="C258" s="17" t="n">
        <v>3</v>
      </c>
      <c r="D258" s="17" t="n">
        <v>2021</v>
      </c>
      <c r="E258" s="18" t="n">
        <v>0.394189814814815</v>
      </c>
      <c r="F258" s="17" t="n">
        <v>3420</v>
      </c>
      <c r="G258" s="17" t="s">
        <v>256</v>
      </c>
      <c r="H258" s="17" t="s">
        <v>257</v>
      </c>
      <c r="I258" s="17" t="s">
        <v>258</v>
      </c>
      <c r="J258" s="17" t="s">
        <v>259</v>
      </c>
      <c r="K258" s="17" t="n">
        <v>44</v>
      </c>
      <c r="L258" s="17" t="s">
        <v>125</v>
      </c>
      <c r="M258" s="17" t="s">
        <v>82</v>
      </c>
      <c r="N258" s="19" t="n">
        <v>13.32</v>
      </c>
      <c r="O258" s="19" t="n">
        <v>586.08</v>
      </c>
      <c r="P258" s="17" t="s">
        <v>33</v>
      </c>
      <c r="Q258" s="20" t="n">
        <f aca="false">DATE(D258,C258,B258)</f>
        <v>44273</v>
      </c>
      <c r="R258" s="17" t="str">
        <f aca="false">IF(HOUR(E258)&lt;6,"Madrugada (0-5 h)",IF(HOUR(E258)&lt;12,"Mañana (6-11 h)",IF(HOUR(E258)&lt;18,"Tarde (12-17 h)","Noche (18-23 h)")))</f>
        <v>Mañana (6-11 h)</v>
      </c>
    </row>
    <row r="259" customFormat="false" ht="15" hidden="false" customHeight="false" outlineLevel="0" collapsed="false">
      <c r="A259" s="17" t="n">
        <v>1258</v>
      </c>
      <c r="B259" s="17" t="n">
        <v>8</v>
      </c>
      <c r="C259" s="17" t="n">
        <v>12</v>
      </c>
      <c r="D259" s="17" t="n">
        <v>2022</v>
      </c>
      <c r="E259" s="18" t="n">
        <v>0.601354166666667</v>
      </c>
      <c r="F259" s="17" t="n">
        <v>3478</v>
      </c>
      <c r="G259" s="17" t="s">
        <v>260</v>
      </c>
      <c r="H259" s="17" t="s">
        <v>261</v>
      </c>
      <c r="I259" s="17" t="s">
        <v>262</v>
      </c>
      <c r="J259" s="17" t="s">
        <v>263</v>
      </c>
      <c r="K259" s="17" t="n">
        <v>49</v>
      </c>
      <c r="L259" s="17" t="s">
        <v>125</v>
      </c>
      <c r="M259" s="17" t="s">
        <v>82</v>
      </c>
      <c r="N259" s="19" t="n">
        <v>10.1</v>
      </c>
      <c r="O259" s="19" t="n">
        <v>494.9</v>
      </c>
      <c r="P259" s="17" t="s">
        <v>33</v>
      </c>
      <c r="Q259" s="20" t="n">
        <f aca="false">DATE(D259,C259,B259)</f>
        <v>44903</v>
      </c>
      <c r="R259" s="17" t="str">
        <f aca="false">IF(HOUR(E259)&lt;6,"Madrugada (0-5 h)",IF(HOUR(E259)&lt;12,"Mañana (6-11 h)",IF(HOUR(E259)&lt;18,"Tarde (12-17 h)","Noche (18-23 h)")))</f>
        <v>Tarde (12-17 h)</v>
      </c>
    </row>
    <row r="260" customFormat="false" ht="15" hidden="false" customHeight="false" outlineLevel="0" collapsed="false">
      <c r="A260" s="17" t="n">
        <v>1259</v>
      </c>
      <c r="B260" s="17" t="n">
        <v>28</v>
      </c>
      <c r="C260" s="17" t="n">
        <v>8</v>
      </c>
      <c r="D260" s="17" t="n">
        <v>2022</v>
      </c>
      <c r="E260" s="18" t="n">
        <v>0.889444444444445</v>
      </c>
      <c r="F260" s="17" t="n">
        <v>2900</v>
      </c>
      <c r="G260" s="17" t="s">
        <v>264</v>
      </c>
      <c r="H260" s="17" t="s">
        <v>425</v>
      </c>
      <c r="I260" s="17" t="s">
        <v>266</v>
      </c>
      <c r="J260" s="17" t="s">
        <v>129</v>
      </c>
      <c r="K260" s="17" t="n">
        <v>35</v>
      </c>
      <c r="L260" s="17" t="s">
        <v>61</v>
      </c>
      <c r="M260" s="17" t="s">
        <v>32</v>
      </c>
      <c r="N260" s="19" t="n">
        <v>4.56</v>
      </c>
      <c r="O260" s="19" t="n">
        <v>159.6</v>
      </c>
      <c r="P260" s="17" t="s">
        <v>33</v>
      </c>
      <c r="Q260" s="20" t="n">
        <f aca="false">DATE(D260,C260,B260)</f>
        <v>44801</v>
      </c>
      <c r="R260" s="17" t="str">
        <f aca="false">IF(HOUR(E260)&lt;6,"Madrugada (0-5 h)",IF(HOUR(E260)&lt;12,"Mañana (6-11 h)",IF(HOUR(E260)&lt;18,"Tarde (12-17 h)","Noche (18-23 h)")))</f>
        <v>Noche (18-23 h)</v>
      </c>
    </row>
    <row r="261" customFormat="false" ht="15" hidden="false" customHeight="false" outlineLevel="0" collapsed="false">
      <c r="A261" s="17" t="n">
        <v>1260</v>
      </c>
      <c r="B261" s="17" t="n">
        <v>16</v>
      </c>
      <c r="C261" s="17" t="n">
        <v>9</v>
      </c>
      <c r="D261" s="17" t="n">
        <v>2022</v>
      </c>
      <c r="E261" s="18" t="n">
        <v>0.020474537037037</v>
      </c>
      <c r="F261" s="17" t="n">
        <v>4208</v>
      </c>
      <c r="G261" s="17" t="s">
        <v>267</v>
      </c>
      <c r="H261" s="17" t="s">
        <v>267</v>
      </c>
      <c r="I261" s="17" t="s">
        <v>93</v>
      </c>
      <c r="J261" s="17" t="s">
        <v>268</v>
      </c>
      <c r="K261" s="17" t="n">
        <v>19</v>
      </c>
      <c r="L261" s="17" t="s">
        <v>61</v>
      </c>
      <c r="M261" s="17" t="s">
        <v>32</v>
      </c>
      <c r="N261" s="19" t="n">
        <v>5.56</v>
      </c>
      <c r="O261" s="19" t="n">
        <v>105.64</v>
      </c>
      <c r="P261" s="17" t="s">
        <v>33</v>
      </c>
      <c r="Q261" s="20" t="n">
        <f aca="false">DATE(D261,C261,B261)</f>
        <v>44820</v>
      </c>
      <c r="R261" s="17" t="str">
        <f aca="false">IF(HOUR(E261)&lt;6,"Madrugada (0-5 h)",IF(HOUR(E261)&lt;12,"Mañana (6-11 h)",IF(HOUR(E261)&lt;18,"Tarde (12-17 h)","Noche (18-23 h)")))</f>
        <v>Madrugada (0-5 h)</v>
      </c>
    </row>
    <row r="262" customFormat="false" ht="15" hidden="false" customHeight="false" outlineLevel="0" collapsed="false">
      <c r="A262" s="17" t="n">
        <v>1261</v>
      </c>
      <c r="B262" s="17" t="n">
        <v>7</v>
      </c>
      <c r="C262" s="17" t="n">
        <v>11</v>
      </c>
      <c r="D262" s="17" t="n">
        <v>2021</v>
      </c>
      <c r="E262" s="18" t="n">
        <v>0.351597222222222</v>
      </c>
      <c r="F262" s="17" t="n">
        <v>4322</v>
      </c>
      <c r="G262" s="17" t="s">
        <v>269</v>
      </c>
      <c r="H262" s="17" t="s">
        <v>270</v>
      </c>
      <c r="I262" s="17" t="s">
        <v>271</v>
      </c>
      <c r="J262" s="17" t="s">
        <v>272</v>
      </c>
      <c r="K262" s="17" t="n">
        <v>28</v>
      </c>
      <c r="L262" s="17" t="s">
        <v>61</v>
      </c>
      <c r="M262" s="17" t="s">
        <v>32</v>
      </c>
      <c r="N262" s="19" t="n">
        <v>3.43</v>
      </c>
      <c r="O262" s="19" t="n">
        <v>96.04</v>
      </c>
      <c r="P262" s="17" t="s">
        <v>33</v>
      </c>
      <c r="Q262" s="20" t="n">
        <f aca="false">DATE(D262,C262,B262)</f>
        <v>44507</v>
      </c>
      <c r="R262" s="17" t="str">
        <f aca="false">IF(HOUR(E262)&lt;6,"Madrugada (0-5 h)",IF(HOUR(E262)&lt;12,"Mañana (6-11 h)",IF(HOUR(E262)&lt;18,"Tarde (12-17 h)","Noche (18-23 h)")))</f>
        <v>Mañana (6-11 h)</v>
      </c>
    </row>
    <row r="263" customFormat="false" ht="15" hidden="false" customHeight="false" outlineLevel="0" collapsed="false">
      <c r="A263" s="17" t="n">
        <v>1262</v>
      </c>
      <c r="B263" s="17" t="n">
        <v>18</v>
      </c>
      <c r="C263" s="17" t="n">
        <v>9</v>
      </c>
      <c r="D263" s="17" t="n">
        <v>2021</v>
      </c>
      <c r="E263" s="18" t="n">
        <v>0.581956018518519</v>
      </c>
      <c r="F263" s="17" t="n">
        <v>3676</v>
      </c>
      <c r="G263" s="17" t="s">
        <v>273</v>
      </c>
      <c r="H263" s="17" t="s">
        <v>274</v>
      </c>
      <c r="I263" s="17" t="s">
        <v>275</v>
      </c>
      <c r="J263" s="17" t="s">
        <v>276</v>
      </c>
      <c r="K263" s="17" t="n">
        <v>18</v>
      </c>
      <c r="L263" s="17" t="s">
        <v>31</v>
      </c>
      <c r="M263" s="17" t="s">
        <v>32</v>
      </c>
      <c r="N263" s="19" t="n">
        <v>15.02</v>
      </c>
      <c r="O263" s="19" t="n">
        <v>270.36</v>
      </c>
      <c r="P263" s="17" t="s">
        <v>33</v>
      </c>
      <c r="Q263" s="20" t="n">
        <f aca="false">DATE(D263,C263,B263)</f>
        <v>44457</v>
      </c>
      <c r="R263" s="17" t="str">
        <f aca="false">IF(HOUR(E263)&lt;6,"Madrugada (0-5 h)",IF(HOUR(E263)&lt;12,"Mañana (6-11 h)",IF(HOUR(E263)&lt;18,"Tarde (12-17 h)","Noche (18-23 h)")))</f>
        <v>Tarde (12-17 h)</v>
      </c>
    </row>
    <row r="264" customFormat="false" ht="15" hidden="false" customHeight="false" outlineLevel="0" collapsed="false">
      <c r="A264" s="17" t="n">
        <v>1263</v>
      </c>
      <c r="B264" s="17" t="n">
        <v>17</v>
      </c>
      <c r="C264" s="17" t="n">
        <v>8</v>
      </c>
      <c r="D264" s="17" t="n">
        <v>2022</v>
      </c>
      <c r="E264" s="18" t="n">
        <v>0.539872685185185</v>
      </c>
      <c r="F264" s="17" t="n">
        <v>2979</v>
      </c>
      <c r="G264" s="17" t="s">
        <v>277</v>
      </c>
      <c r="H264" s="17" t="s">
        <v>278</v>
      </c>
      <c r="I264" s="17" t="s">
        <v>279</v>
      </c>
      <c r="J264" s="17" t="s">
        <v>280</v>
      </c>
      <c r="K264" s="17" t="n">
        <v>26</v>
      </c>
      <c r="L264" s="17" t="s">
        <v>31</v>
      </c>
      <c r="M264" s="17" t="s">
        <v>32</v>
      </c>
      <c r="N264" s="19" t="n">
        <v>2.02</v>
      </c>
      <c r="O264" s="19" t="n">
        <v>52.52</v>
      </c>
      <c r="P264" s="17" t="s">
        <v>33</v>
      </c>
      <c r="Q264" s="20" t="n">
        <f aca="false">DATE(D264,C264,B264)</f>
        <v>44790</v>
      </c>
      <c r="R264" s="17" t="str">
        <f aca="false">IF(HOUR(E264)&lt;6,"Madrugada (0-5 h)",IF(HOUR(E264)&lt;12,"Mañana (6-11 h)",IF(HOUR(E264)&lt;18,"Tarde (12-17 h)","Noche (18-23 h)")))</f>
        <v>Tarde (12-17 h)</v>
      </c>
    </row>
    <row r="265" customFormat="false" ht="15" hidden="false" customHeight="false" outlineLevel="0" collapsed="false">
      <c r="A265" s="17" t="n">
        <v>1264</v>
      </c>
      <c r="B265" s="17" t="n">
        <v>2</v>
      </c>
      <c r="C265" s="17" t="n">
        <v>4</v>
      </c>
      <c r="D265" s="17" t="n">
        <v>2022</v>
      </c>
      <c r="E265" s="18" t="n">
        <v>0.781527777777778</v>
      </c>
      <c r="F265" s="17" t="n">
        <v>4043</v>
      </c>
      <c r="G265" s="17" t="s">
        <v>224</v>
      </c>
      <c r="H265" s="17" t="s">
        <v>224</v>
      </c>
      <c r="I265" s="17" t="s">
        <v>281</v>
      </c>
      <c r="J265" s="17" t="s">
        <v>282</v>
      </c>
      <c r="K265" s="17" t="n">
        <v>50</v>
      </c>
      <c r="L265" s="17" t="s">
        <v>31</v>
      </c>
      <c r="M265" s="17" t="s">
        <v>32</v>
      </c>
      <c r="N265" s="19" t="n">
        <v>2.45</v>
      </c>
      <c r="O265" s="19" t="n">
        <v>122.5</v>
      </c>
      <c r="P265" s="17" t="s">
        <v>33</v>
      </c>
      <c r="Q265" s="20" t="n">
        <f aca="false">DATE(D265,C265,B265)</f>
        <v>44653</v>
      </c>
      <c r="R265" s="17" t="str">
        <f aca="false">IF(HOUR(E265)&lt;6,"Madrugada (0-5 h)",IF(HOUR(E265)&lt;12,"Mañana (6-11 h)",IF(HOUR(E265)&lt;18,"Tarde (12-17 h)","Noche (18-23 h)")))</f>
        <v>Noche (18-23 h)</v>
      </c>
    </row>
    <row r="266" customFormat="false" ht="15" hidden="false" customHeight="false" outlineLevel="0" collapsed="false">
      <c r="A266" s="17" t="n">
        <v>1265</v>
      </c>
      <c r="B266" s="17" t="n">
        <v>21</v>
      </c>
      <c r="C266" s="17" t="n">
        <v>10</v>
      </c>
      <c r="D266" s="17" t="n">
        <v>2021</v>
      </c>
      <c r="E266" s="18" t="n">
        <v>0.308865740740741</v>
      </c>
      <c r="F266" s="17" t="n">
        <v>1511</v>
      </c>
      <c r="G266" s="17" t="s">
        <v>220</v>
      </c>
      <c r="H266" s="17" t="s">
        <v>221</v>
      </c>
      <c r="I266" s="17" t="s">
        <v>283</v>
      </c>
      <c r="J266" s="17" t="s">
        <v>284</v>
      </c>
      <c r="K266" s="17" t="n">
        <v>3</v>
      </c>
      <c r="L266" s="17" t="s">
        <v>31</v>
      </c>
      <c r="M266" s="17" t="s">
        <v>32</v>
      </c>
      <c r="N266" s="19" t="n">
        <v>6.53</v>
      </c>
      <c r="O266" s="19" t="n">
        <v>19.59</v>
      </c>
      <c r="P266" s="17" t="s">
        <v>33</v>
      </c>
      <c r="Q266" s="20" t="n">
        <f aca="false">DATE(D266,C266,B266)</f>
        <v>44490</v>
      </c>
      <c r="R266" s="17" t="str">
        <f aca="false">IF(HOUR(E266)&lt;6,"Madrugada (0-5 h)",IF(HOUR(E266)&lt;12,"Mañana (6-11 h)",IF(HOUR(E266)&lt;18,"Tarde (12-17 h)","Noche (18-23 h)")))</f>
        <v>Mañana (6-11 h)</v>
      </c>
    </row>
    <row r="267" customFormat="false" ht="15" hidden="false" customHeight="false" outlineLevel="0" collapsed="false">
      <c r="A267" s="17" t="n">
        <v>1266</v>
      </c>
      <c r="B267" s="17" t="n">
        <v>27</v>
      </c>
      <c r="C267" s="17" t="n">
        <v>11</v>
      </c>
      <c r="D267" s="17" t="n">
        <v>2021</v>
      </c>
      <c r="E267" s="18" t="n">
        <v>0.947106481481482</v>
      </c>
      <c r="F267" s="17" t="n">
        <v>4774</v>
      </c>
      <c r="G267" s="17" t="s">
        <v>285</v>
      </c>
      <c r="H267" s="17" t="s">
        <v>286</v>
      </c>
      <c r="I267" s="17" t="s">
        <v>287</v>
      </c>
      <c r="J267" s="17" t="s">
        <v>288</v>
      </c>
      <c r="K267" s="17" t="n">
        <v>33</v>
      </c>
      <c r="L267" s="17" t="s">
        <v>31</v>
      </c>
      <c r="M267" s="17" t="s">
        <v>32</v>
      </c>
      <c r="N267" s="19" t="n">
        <v>5.55</v>
      </c>
      <c r="O267" s="19" t="n">
        <v>183.15</v>
      </c>
      <c r="P267" s="17" t="s">
        <v>33</v>
      </c>
      <c r="Q267" s="20" t="n">
        <f aca="false">DATE(D267,C267,B267)</f>
        <v>44527</v>
      </c>
      <c r="R267" s="17" t="str">
        <f aca="false">IF(HOUR(E267)&lt;6,"Madrugada (0-5 h)",IF(HOUR(E267)&lt;12,"Mañana (6-11 h)",IF(HOUR(E267)&lt;18,"Tarde (12-17 h)","Noche (18-23 h)")))</f>
        <v>Noche (18-23 h)</v>
      </c>
    </row>
    <row r="268" customFormat="false" ht="15" hidden="false" customHeight="false" outlineLevel="0" collapsed="false">
      <c r="A268" s="17" t="n">
        <v>1267</v>
      </c>
      <c r="B268" s="17" t="n">
        <v>20</v>
      </c>
      <c r="C268" s="17" t="n">
        <v>1</v>
      </c>
      <c r="D268" s="17" t="n">
        <v>2022</v>
      </c>
      <c r="E268" s="18" t="n">
        <v>0.883402777777778</v>
      </c>
      <c r="F268" s="17" t="n">
        <v>2999</v>
      </c>
      <c r="G268" s="17" t="s">
        <v>91</v>
      </c>
      <c r="H268" s="17" t="s">
        <v>92</v>
      </c>
      <c r="I268" s="17" t="s">
        <v>289</v>
      </c>
      <c r="J268" s="17" t="s">
        <v>290</v>
      </c>
      <c r="K268" s="17" t="n">
        <v>25</v>
      </c>
      <c r="L268" s="17" t="s">
        <v>61</v>
      </c>
      <c r="M268" s="17" t="s">
        <v>32</v>
      </c>
      <c r="N268" s="19" t="n">
        <v>4.12</v>
      </c>
      <c r="O268" s="19" t="n">
        <v>103</v>
      </c>
      <c r="P268" s="17" t="s">
        <v>33</v>
      </c>
      <c r="Q268" s="20" t="n">
        <f aca="false">DATE(D268,C268,B268)</f>
        <v>44581</v>
      </c>
      <c r="R268" s="17" t="str">
        <f aca="false">IF(HOUR(E268)&lt;6,"Madrugada (0-5 h)",IF(HOUR(E268)&lt;12,"Mañana (6-11 h)",IF(HOUR(E268)&lt;18,"Tarde (12-17 h)","Noche (18-23 h)")))</f>
        <v>Noche (18-23 h)</v>
      </c>
    </row>
    <row r="269" customFormat="false" ht="15" hidden="false" customHeight="false" outlineLevel="0" collapsed="false">
      <c r="A269" s="17" t="n">
        <v>1268</v>
      </c>
      <c r="B269" s="17" t="n">
        <v>12</v>
      </c>
      <c r="C269" s="17" t="n">
        <v>10</v>
      </c>
      <c r="D269" s="17" t="n">
        <v>2021</v>
      </c>
      <c r="E269" s="18" t="n">
        <v>0.814988425925926</v>
      </c>
      <c r="F269" s="17" t="n">
        <v>1253</v>
      </c>
      <c r="G269" s="17" t="s">
        <v>291</v>
      </c>
      <c r="H269" s="17" t="s">
        <v>426</v>
      </c>
      <c r="I269" s="17" t="s">
        <v>293</v>
      </c>
      <c r="J269" s="17" t="s">
        <v>294</v>
      </c>
      <c r="K269" s="17" t="n">
        <v>19</v>
      </c>
      <c r="L269" s="17" t="s">
        <v>42</v>
      </c>
      <c r="M269" s="17" t="s">
        <v>32</v>
      </c>
      <c r="N269" s="19" t="n">
        <v>5.76</v>
      </c>
      <c r="O269" s="19" t="n">
        <v>109.44</v>
      </c>
      <c r="P269" s="17" t="s">
        <v>33</v>
      </c>
      <c r="Q269" s="20" t="n">
        <f aca="false">DATE(D269,C269,B269)</f>
        <v>44481</v>
      </c>
      <c r="R269" s="17" t="str">
        <f aca="false">IF(HOUR(E269)&lt;6,"Madrugada (0-5 h)",IF(HOUR(E269)&lt;12,"Mañana (6-11 h)",IF(HOUR(E269)&lt;18,"Tarde (12-17 h)","Noche (18-23 h)")))</f>
        <v>Noche (18-23 h)</v>
      </c>
    </row>
    <row r="270" customFormat="false" ht="15" hidden="false" customHeight="false" outlineLevel="0" collapsed="false">
      <c r="A270" s="17" t="n">
        <v>1269</v>
      </c>
      <c r="B270" s="17" t="n">
        <v>1</v>
      </c>
      <c r="C270" s="17" t="n">
        <v>11</v>
      </c>
      <c r="D270" s="17" t="n">
        <v>2021</v>
      </c>
      <c r="E270" s="18" t="n">
        <v>0.840335648148148</v>
      </c>
      <c r="F270" s="17" t="n">
        <v>2856</v>
      </c>
      <c r="G270" s="17" t="s">
        <v>295</v>
      </c>
      <c r="H270" s="17" t="s">
        <v>296</v>
      </c>
      <c r="I270" s="17" t="s">
        <v>297</v>
      </c>
      <c r="J270" s="17" t="s">
        <v>298</v>
      </c>
      <c r="K270" s="17" t="n">
        <v>31</v>
      </c>
      <c r="L270" s="17" t="s">
        <v>98</v>
      </c>
      <c r="M270" s="17" t="s">
        <v>62</v>
      </c>
      <c r="N270" s="19" t="n">
        <v>3.5</v>
      </c>
      <c r="O270" s="19" t="n">
        <v>108.5</v>
      </c>
      <c r="P270" s="17" t="s">
        <v>33</v>
      </c>
      <c r="Q270" s="20" t="n">
        <f aca="false">DATE(D270,C270,B270)</f>
        <v>44501</v>
      </c>
      <c r="R270" s="17" t="str">
        <f aca="false">IF(HOUR(E270)&lt;6,"Madrugada (0-5 h)",IF(HOUR(E270)&lt;12,"Mañana (6-11 h)",IF(HOUR(E270)&lt;18,"Tarde (12-17 h)","Noche (18-23 h)")))</f>
        <v>Noche (18-23 h)</v>
      </c>
    </row>
    <row r="271" customFormat="false" ht="15" hidden="false" customHeight="false" outlineLevel="0" collapsed="false">
      <c r="A271" s="17" t="n">
        <v>1270</v>
      </c>
      <c r="B271" s="17" t="n">
        <v>11</v>
      </c>
      <c r="C271" s="17" t="n">
        <v>10</v>
      </c>
      <c r="D271" s="17" t="n">
        <v>2021</v>
      </c>
      <c r="E271" s="18" t="n">
        <v>0.1096875</v>
      </c>
      <c r="F271" s="17" t="n">
        <v>2750</v>
      </c>
      <c r="G271" s="17" t="s">
        <v>72</v>
      </c>
      <c r="H271" s="17" t="s">
        <v>299</v>
      </c>
      <c r="I271" s="17" t="s">
        <v>300</v>
      </c>
      <c r="J271" s="17" t="s">
        <v>301</v>
      </c>
      <c r="K271" s="17" t="n">
        <v>47</v>
      </c>
      <c r="L271" s="17" t="s">
        <v>61</v>
      </c>
      <c r="M271" s="17" t="s">
        <v>76</v>
      </c>
      <c r="N271" s="19" t="n">
        <v>13.71</v>
      </c>
      <c r="O271" s="19" t="n">
        <v>644.37</v>
      </c>
      <c r="P271" s="17" t="s">
        <v>33</v>
      </c>
      <c r="Q271" s="20" t="n">
        <f aca="false">DATE(D271,C271,B271)</f>
        <v>44480</v>
      </c>
      <c r="R271" s="17" t="str">
        <f aca="false">IF(HOUR(E271)&lt;6,"Madrugada (0-5 h)",IF(HOUR(E271)&lt;12,"Mañana (6-11 h)",IF(HOUR(E271)&lt;18,"Tarde (12-17 h)","Noche (18-23 h)")))</f>
        <v>Madrugada (0-5 h)</v>
      </c>
    </row>
    <row r="272" customFormat="false" ht="15" hidden="false" customHeight="false" outlineLevel="0" collapsed="false">
      <c r="A272" s="17" t="n">
        <v>1271</v>
      </c>
      <c r="B272" s="17" t="n">
        <v>9</v>
      </c>
      <c r="C272" s="17" t="n">
        <v>2</v>
      </c>
      <c r="D272" s="17" t="n">
        <v>2022</v>
      </c>
      <c r="E272" s="18" t="n">
        <v>0.361354166666667</v>
      </c>
      <c r="F272" s="17" t="n">
        <v>1070</v>
      </c>
      <c r="G272" s="17" t="s">
        <v>302</v>
      </c>
      <c r="H272" s="17" t="s">
        <v>303</v>
      </c>
      <c r="I272" s="17" t="s">
        <v>300</v>
      </c>
      <c r="J272" s="17" t="s">
        <v>301</v>
      </c>
      <c r="K272" s="17" t="n">
        <v>41</v>
      </c>
      <c r="L272" s="17" t="s">
        <v>61</v>
      </c>
      <c r="M272" s="17" t="s">
        <v>76</v>
      </c>
      <c r="N272" s="19" t="n">
        <v>22.36</v>
      </c>
      <c r="O272" s="19" t="n">
        <v>916.76</v>
      </c>
      <c r="P272" s="17" t="s">
        <v>33</v>
      </c>
      <c r="Q272" s="20" t="n">
        <f aca="false">DATE(D272,C272,B272)</f>
        <v>44601</v>
      </c>
      <c r="R272" s="17" t="str">
        <f aca="false">IF(HOUR(E272)&lt;6,"Madrugada (0-5 h)",IF(HOUR(E272)&lt;12,"Mañana (6-11 h)",IF(HOUR(E272)&lt;18,"Tarde (12-17 h)","Noche (18-23 h)")))</f>
        <v>Mañana (6-11 h)</v>
      </c>
    </row>
    <row r="273" customFormat="false" ht="15" hidden="false" customHeight="false" outlineLevel="0" collapsed="false">
      <c r="A273" s="17" t="n">
        <v>1272</v>
      </c>
      <c r="B273" s="17" t="n">
        <v>7</v>
      </c>
      <c r="C273" s="17" t="n">
        <v>9</v>
      </c>
      <c r="D273" s="17" t="n">
        <v>2022</v>
      </c>
      <c r="E273" s="18" t="n">
        <v>0.0815856481481481</v>
      </c>
      <c r="F273" s="17" t="n">
        <v>2135</v>
      </c>
      <c r="G273" s="17" t="s">
        <v>304</v>
      </c>
      <c r="H273" s="17" t="s">
        <v>305</v>
      </c>
      <c r="I273" s="17" t="s">
        <v>305</v>
      </c>
      <c r="J273" s="17" t="s">
        <v>306</v>
      </c>
      <c r="K273" s="17" t="n">
        <v>33</v>
      </c>
      <c r="L273" s="17" t="s">
        <v>31</v>
      </c>
      <c r="M273" s="17" t="s">
        <v>32</v>
      </c>
      <c r="N273" s="19" t="n">
        <v>6.68</v>
      </c>
      <c r="O273" s="19" t="n">
        <v>220.44</v>
      </c>
      <c r="P273" s="17" t="s">
        <v>33</v>
      </c>
      <c r="Q273" s="20" t="n">
        <f aca="false">DATE(D273,C273,B273)</f>
        <v>44811</v>
      </c>
      <c r="R273" s="17" t="str">
        <f aca="false">IF(HOUR(E273)&lt;6,"Madrugada (0-5 h)",IF(HOUR(E273)&lt;12,"Mañana (6-11 h)",IF(HOUR(E273)&lt;18,"Tarde (12-17 h)","Noche (18-23 h)")))</f>
        <v>Madrugada (0-5 h)</v>
      </c>
    </row>
    <row r="274" customFormat="false" ht="15" hidden="false" customHeight="false" outlineLevel="0" collapsed="false">
      <c r="A274" s="17" t="n">
        <v>1273</v>
      </c>
      <c r="B274" s="17" t="n">
        <v>18</v>
      </c>
      <c r="C274" s="17" t="n">
        <v>5</v>
      </c>
      <c r="D274" s="17" t="n">
        <v>2021</v>
      </c>
      <c r="E274" s="18" t="n">
        <v>0.798935185185185</v>
      </c>
      <c r="F274" s="17" t="n">
        <v>2243</v>
      </c>
      <c r="G274" s="17" t="s">
        <v>307</v>
      </c>
      <c r="H274" s="17" t="s">
        <v>250</v>
      </c>
      <c r="I274" s="17" t="s">
        <v>308</v>
      </c>
      <c r="J274" s="17" t="s">
        <v>309</v>
      </c>
      <c r="K274" s="17" t="n">
        <v>22</v>
      </c>
      <c r="L274" s="17" t="s">
        <v>31</v>
      </c>
      <c r="M274" s="17" t="s">
        <v>32</v>
      </c>
      <c r="N274" s="19" t="n">
        <v>10.05</v>
      </c>
      <c r="O274" s="19" t="n">
        <v>221.1</v>
      </c>
      <c r="P274" s="17" t="s">
        <v>33</v>
      </c>
      <c r="Q274" s="20" t="n">
        <f aca="false">DATE(D274,C274,B274)</f>
        <v>44334</v>
      </c>
      <c r="R274" s="17" t="str">
        <f aca="false">IF(HOUR(E274)&lt;6,"Madrugada (0-5 h)",IF(HOUR(E274)&lt;12,"Mañana (6-11 h)",IF(HOUR(E274)&lt;18,"Tarde (12-17 h)","Noche (18-23 h)")))</f>
        <v>Noche (18-23 h)</v>
      </c>
    </row>
    <row r="275" customFormat="false" ht="15" hidden="false" customHeight="false" outlineLevel="0" collapsed="false">
      <c r="A275" s="17" t="n">
        <v>1274</v>
      </c>
      <c r="B275" s="17" t="n">
        <v>19</v>
      </c>
      <c r="C275" s="17" t="n">
        <v>12</v>
      </c>
      <c r="D275" s="17" t="n">
        <v>2022</v>
      </c>
      <c r="E275" s="18" t="n">
        <v>0.857071759259259</v>
      </c>
      <c r="F275" s="17" t="n">
        <v>4403</v>
      </c>
      <c r="G275" s="17" t="s">
        <v>310</v>
      </c>
      <c r="H275" s="17" t="s">
        <v>311</v>
      </c>
      <c r="I275" s="17" t="s">
        <v>312</v>
      </c>
      <c r="J275" s="17" t="s">
        <v>313</v>
      </c>
      <c r="K275" s="17" t="n">
        <v>39</v>
      </c>
      <c r="L275" s="17" t="s">
        <v>31</v>
      </c>
      <c r="M275" s="17" t="s">
        <v>32</v>
      </c>
      <c r="N275" s="19" t="n">
        <v>1.55</v>
      </c>
      <c r="O275" s="19" t="n">
        <v>60.45</v>
      </c>
      <c r="P275" s="17" t="s">
        <v>33</v>
      </c>
      <c r="Q275" s="20" t="n">
        <f aca="false">DATE(D275,C275,B275)</f>
        <v>44914</v>
      </c>
      <c r="R275" s="17" t="str">
        <f aca="false">IF(HOUR(E275)&lt;6,"Madrugada (0-5 h)",IF(HOUR(E275)&lt;12,"Mañana (6-11 h)",IF(HOUR(E275)&lt;18,"Tarde (12-17 h)","Noche (18-23 h)")))</f>
        <v>Noche (18-23 h)</v>
      </c>
    </row>
    <row r="276" customFormat="false" ht="15" hidden="false" customHeight="false" outlineLevel="0" collapsed="false">
      <c r="A276" s="17" t="n">
        <v>1275</v>
      </c>
      <c r="B276" s="17" t="n">
        <v>6</v>
      </c>
      <c r="C276" s="17" t="n">
        <v>6</v>
      </c>
      <c r="D276" s="17" t="n">
        <v>2021</v>
      </c>
      <c r="E276" s="18" t="n">
        <v>0.814027777777778</v>
      </c>
      <c r="F276" s="17" t="n">
        <v>1067</v>
      </c>
      <c r="G276" s="17" t="s">
        <v>314</v>
      </c>
      <c r="H276" s="17" t="s">
        <v>315</v>
      </c>
      <c r="I276" s="17" t="s">
        <v>316</v>
      </c>
      <c r="J276" s="17" t="s">
        <v>317</v>
      </c>
      <c r="K276" s="17" t="n">
        <v>10</v>
      </c>
      <c r="L276" s="17" t="s">
        <v>31</v>
      </c>
      <c r="M276" s="17" t="s">
        <v>32</v>
      </c>
      <c r="N276" s="19" t="n">
        <v>4.55</v>
      </c>
      <c r="O276" s="19" t="n">
        <v>45.5</v>
      </c>
      <c r="P276" s="17" t="s">
        <v>33</v>
      </c>
      <c r="Q276" s="20" t="n">
        <f aca="false">DATE(D276,C276,B276)</f>
        <v>44353</v>
      </c>
      <c r="R276" s="17" t="str">
        <f aca="false">IF(HOUR(E276)&lt;6,"Madrugada (0-5 h)",IF(HOUR(E276)&lt;12,"Mañana (6-11 h)",IF(HOUR(E276)&lt;18,"Tarde (12-17 h)","Noche (18-23 h)")))</f>
        <v>Noche (18-23 h)</v>
      </c>
    </row>
    <row r="277" customFormat="false" ht="15" hidden="false" customHeight="false" outlineLevel="0" collapsed="false">
      <c r="A277" s="17" t="n">
        <v>1276</v>
      </c>
      <c r="B277" s="17" t="n">
        <v>20</v>
      </c>
      <c r="C277" s="17" t="n">
        <v>5</v>
      </c>
      <c r="D277" s="17" t="n">
        <v>2021</v>
      </c>
      <c r="E277" s="18" t="n">
        <v>0.648680555555556</v>
      </c>
      <c r="F277" s="17" t="n">
        <v>2398</v>
      </c>
      <c r="G277" s="17" t="s">
        <v>318</v>
      </c>
      <c r="H277" s="17" t="s">
        <v>319</v>
      </c>
      <c r="I277" s="17" t="s">
        <v>320</v>
      </c>
      <c r="J277" s="17" t="s">
        <v>321</v>
      </c>
      <c r="K277" s="17" t="n">
        <v>20</v>
      </c>
      <c r="L277" s="17" t="s">
        <v>31</v>
      </c>
      <c r="M277" s="17" t="s">
        <v>82</v>
      </c>
      <c r="N277" s="19" t="n">
        <v>5.74</v>
      </c>
      <c r="O277" s="19" t="n">
        <v>114.8</v>
      </c>
      <c r="P277" s="17" t="s">
        <v>33</v>
      </c>
      <c r="Q277" s="20" t="n">
        <f aca="false">DATE(D277,C277,B277)</f>
        <v>44336</v>
      </c>
      <c r="R277" s="17" t="str">
        <f aca="false">IF(HOUR(E277)&lt;6,"Madrugada (0-5 h)",IF(HOUR(E277)&lt;12,"Mañana (6-11 h)",IF(HOUR(E277)&lt;18,"Tarde (12-17 h)","Noche (18-23 h)")))</f>
        <v>Tarde (12-17 h)</v>
      </c>
    </row>
    <row r="278" customFormat="false" ht="15" hidden="false" customHeight="false" outlineLevel="0" collapsed="false">
      <c r="A278" s="17" t="n">
        <v>1277</v>
      </c>
      <c r="B278" s="17" t="n">
        <v>25</v>
      </c>
      <c r="C278" s="17" t="n">
        <v>11</v>
      </c>
      <c r="D278" s="17" t="n">
        <v>2021</v>
      </c>
      <c r="E278" s="18" t="n">
        <v>0.693136574074074</v>
      </c>
      <c r="F278" s="17" t="n">
        <v>1477</v>
      </c>
      <c r="G278" s="17" t="s">
        <v>322</v>
      </c>
      <c r="H278" s="17" t="s">
        <v>323</v>
      </c>
      <c r="I278" s="17" t="s">
        <v>324</v>
      </c>
      <c r="J278" s="17" t="s">
        <v>325</v>
      </c>
      <c r="K278" s="17" t="n">
        <v>33</v>
      </c>
      <c r="L278" s="17" t="s">
        <v>61</v>
      </c>
      <c r="M278" s="17" t="s">
        <v>76</v>
      </c>
      <c r="N278" s="19" t="n">
        <v>10.99</v>
      </c>
      <c r="O278" s="19" t="n">
        <v>362.67</v>
      </c>
      <c r="P278" s="17" t="s">
        <v>33</v>
      </c>
      <c r="Q278" s="20" t="n">
        <f aca="false">DATE(D278,C278,B278)</f>
        <v>44525</v>
      </c>
      <c r="R278" s="17" t="str">
        <f aca="false">IF(HOUR(E278)&lt;6,"Madrugada (0-5 h)",IF(HOUR(E278)&lt;12,"Mañana (6-11 h)",IF(HOUR(E278)&lt;18,"Tarde (12-17 h)","Noche (18-23 h)")))</f>
        <v>Tarde (12-17 h)</v>
      </c>
    </row>
    <row r="279" customFormat="false" ht="15" hidden="false" customHeight="false" outlineLevel="0" collapsed="false">
      <c r="A279" s="17" t="n">
        <v>1278</v>
      </c>
      <c r="B279" s="17" t="n">
        <v>1</v>
      </c>
      <c r="C279" s="17" t="n">
        <v>8</v>
      </c>
      <c r="D279" s="17" t="n">
        <v>2021</v>
      </c>
      <c r="E279" s="18" t="n">
        <v>0.0762268518518519</v>
      </c>
      <c r="F279" s="17" t="n">
        <v>4581</v>
      </c>
      <c r="G279" s="17" t="s">
        <v>188</v>
      </c>
      <c r="H279" s="17" t="s">
        <v>326</v>
      </c>
      <c r="I279" s="17" t="s">
        <v>190</v>
      </c>
      <c r="J279" s="17" t="s">
        <v>191</v>
      </c>
      <c r="K279" s="17" t="n">
        <v>23</v>
      </c>
      <c r="L279" s="17" t="s">
        <v>61</v>
      </c>
      <c r="M279" s="17" t="s">
        <v>76</v>
      </c>
      <c r="N279" s="19" t="n">
        <v>13.55</v>
      </c>
      <c r="O279" s="19" t="n">
        <v>311.65</v>
      </c>
      <c r="P279" s="17" t="s">
        <v>43</v>
      </c>
      <c r="Q279" s="20" t="n">
        <f aca="false">DATE(D279,C279,B279)</f>
        <v>44409</v>
      </c>
      <c r="R279" s="17" t="str">
        <f aca="false">IF(HOUR(E279)&lt;6,"Madrugada (0-5 h)",IF(HOUR(E279)&lt;12,"Mañana (6-11 h)",IF(HOUR(E279)&lt;18,"Tarde (12-17 h)","Noche (18-23 h)")))</f>
        <v>Madrugada (0-5 h)</v>
      </c>
    </row>
    <row r="280" customFormat="false" ht="15" hidden="false" customHeight="false" outlineLevel="0" collapsed="false">
      <c r="A280" s="17" t="n">
        <v>1279</v>
      </c>
      <c r="B280" s="17" t="n">
        <v>1</v>
      </c>
      <c r="C280" s="17" t="n">
        <v>2</v>
      </c>
      <c r="D280" s="17" t="n">
        <v>2021</v>
      </c>
      <c r="E280" s="18" t="n">
        <v>0.424155092592593</v>
      </c>
      <c r="F280" s="17" t="n">
        <v>4335</v>
      </c>
      <c r="G280" s="17" t="s">
        <v>327</v>
      </c>
      <c r="H280" s="17" t="s">
        <v>84</v>
      </c>
      <c r="I280" s="17" t="s">
        <v>222</v>
      </c>
      <c r="J280" s="17" t="s">
        <v>328</v>
      </c>
      <c r="K280" s="17" t="n">
        <v>13</v>
      </c>
      <c r="L280" s="17" t="s">
        <v>42</v>
      </c>
      <c r="M280" s="17" t="s">
        <v>32</v>
      </c>
      <c r="N280" s="19" t="n">
        <v>5.56</v>
      </c>
      <c r="O280" s="19" t="n">
        <v>72.28</v>
      </c>
      <c r="P280" s="17" t="s">
        <v>33</v>
      </c>
      <c r="Q280" s="20" t="n">
        <f aca="false">DATE(D280,C280,B280)</f>
        <v>44228</v>
      </c>
      <c r="R280" s="17" t="str">
        <f aca="false">IF(HOUR(E280)&lt;6,"Madrugada (0-5 h)",IF(HOUR(E280)&lt;12,"Mañana (6-11 h)",IF(HOUR(E280)&lt;18,"Tarde (12-17 h)","Noche (18-23 h)")))</f>
        <v>Mañana (6-11 h)</v>
      </c>
    </row>
    <row r="281" customFormat="false" ht="15" hidden="false" customHeight="false" outlineLevel="0" collapsed="false">
      <c r="A281" s="17" t="n">
        <v>1280</v>
      </c>
      <c r="B281" s="17" t="n">
        <v>4</v>
      </c>
      <c r="C281" s="17" t="n">
        <v>7</v>
      </c>
      <c r="D281" s="17" t="n">
        <v>2022</v>
      </c>
      <c r="E281" s="18" t="n">
        <v>0.0621064814814815</v>
      </c>
      <c r="F281" s="17" t="n">
        <v>3522</v>
      </c>
      <c r="G281" s="17" t="s">
        <v>329</v>
      </c>
      <c r="H281" s="17" t="s">
        <v>330</v>
      </c>
      <c r="I281" s="17" t="s">
        <v>331</v>
      </c>
      <c r="J281" s="17" t="s">
        <v>332</v>
      </c>
      <c r="K281" s="17" t="n">
        <v>27</v>
      </c>
      <c r="L281" s="17" t="s">
        <v>81</v>
      </c>
      <c r="M281" s="17" t="s">
        <v>333</v>
      </c>
      <c r="N281" s="19" t="n">
        <v>3.32</v>
      </c>
      <c r="O281" s="19" t="n">
        <v>89.64</v>
      </c>
      <c r="P281" s="17" t="s">
        <v>43</v>
      </c>
      <c r="Q281" s="20" t="n">
        <f aca="false">DATE(D281,C281,B281)</f>
        <v>44746</v>
      </c>
      <c r="R281" s="17" t="str">
        <f aca="false">IF(HOUR(E281)&lt;6,"Madrugada (0-5 h)",IF(HOUR(E281)&lt;12,"Mañana (6-11 h)",IF(HOUR(E281)&lt;18,"Tarde (12-17 h)","Noche (18-23 h)")))</f>
        <v>Madrugada (0-5 h)</v>
      </c>
    </row>
    <row r="282" customFormat="false" ht="15" hidden="false" customHeight="false" outlineLevel="0" collapsed="false">
      <c r="A282" s="17" t="n">
        <v>1281</v>
      </c>
      <c r="B282" s="17" t="n">
        <v>7</v>
      </c>
      <c r="C282" s="17" t="n">
        <v>7</v>
      </c>
      <c r="D282" s="17" t="n">
        <v>2022</v>
      </c>
      <c r="E282" s="18" t="n">
        <v>0.966759259259259</v>
      </c>
      <c r="F282" s="17" t="n">
        <v>3217</v>
      </c>
      <c r="G282" s="17" t="s">
        <v>334</v>
      </c>
      <c r="H282" s="17" t="s">
        <v>88</v>
      </c>
      <c r="I282" s="17" t="s">
        <v>335</v>
      </c>
      <c r="J282" s="17" t="s">
        <v>336</v>
      </c>
      <c r="K282" s="17" t="n">
        <v>28</v>
      </c>
      <c r="L282" s="17" t="s">
        <v>81</v>
      </c>
      <c r="M282" s="17" t="s">
        <v>333</v>
      </c>
      <c r="N282" s="19" t="n">
        <v>54</v>
      </c>
      <c r="O282" s="19" t="n">
        <v>1512</v>
      </c>
      <c r="P282" s="17" t="s">
        <v>33</v>
      </c>
      <c r="Q282" s="20" t="n">
        <f aca="false">DATE(D282,C282,B282)</f>
        <v>44749</v>
      </c>
      <c r="R282" s="17" t="str">
        <f aca="false">IF(HOUR(E282)&lt;6,"Madrugada (0-5 h)",IF(HOUR(E282)&lt;12,"Mañana (6-11 h)",IF(HOUR(E282)&lt;18,"Tarde (12-17 h)","Noche (18-23 h)")))</f>
        <v>Noche (18-23 h)</v>
      </c>
    </row>
    <row r="283" customFormat="false" ht="15" hidden="false" customHeight="false" outlineLevel="0" collapsed="false">
      <c r="A283" s="17" t="n">
        <v>1282</v>
      </c>
      <c r="B283" s="17" t="n">
        <v>26</v>
      </c>
      <c r="C283" s="17" t="n">
        <v>3</v>
      </c>
      <c r="D283" s="17" t="n">
        <v>2022</v>
      </c>
      <c r="E283" s="18" t="n">
        <v>0.102650462962963</v>
      </c>
      <c r="F283" s="17" t="n">
        <v>3565</v>
      </c>
      <c r="G283" s="17" t="s">
        <v>337</v>
      </c>
      <c r="H283" s="17" t="s">
        <v>338</v>
      </c>
      <c r="I283" s="17" t="s">
        <v>339</v>
      </c>
      <c r="J283" s="17" t="s">
        <v>340</v>
      </c>
      <c r="K283" s="17" t="n">
        <v>30</v>
      </c>
      <c r="L283" s="17" t="s">
        <v>81</v>
      </c>
      <c r="M283" s="17" t="s">
        <v>333</v>
      </c>
      <c r="N283" s="19" t="n">
        <v>13.42</v>
      </c>
      <c r="O283" s="19" t="n">
        <v>402.6</v>
      </c>
      <c r="P283" s="17" t="s">
        <v>33</v>
      </c>
      <c r="Q283" s="20" t="n">
        <f aca="false">DATE(D283,C283,B283)</f>
        <v>44646</v>
      </c>
      <c r="R283" s="17" t="str">
        <f aca="false">IF(HOUR(E283)&lt;6,"Madrugada (0-5 h)",IF(HOUR(E283)&lt;12,"Mañana (6-11 h)",IF(HOUR(E283)&lt;18,"Tarde (12-17 h)","Noche (18-23 h)")))</f>
        <v>Madrugada (0-5 h)</v>
      </c>
    </row>
    <row r="284" customFormat="false" ht="15" hidden="false" customHeight="false" outlineLevel="0" collapsed="false">
      <c r="A284" s="17" t="n">
        <v>1283</v>
      </c>
      <c r="B284" s="17" t="n">
        <v>18</v>
      </c>
      <c r="C284" s="17" t="n">
        <v>8</v>
      </c>
      <c r="D284" s="17" t="n">
        <v>2022</v>
      </c>
      <c r="E284" s="18" t="n">
        <v>0.376053240740741</v>
      </c>
      <c r="F284" s="17" t="n">
        <v>3129</v>
      </c>
      <c r="G284" s="17" t="s">
        <v>341</v>
      </c>
      <c r="H284" s="17" t="s">
        <v>342</v>
      </c>
      <c r="I284" s="17" t="s">
        <v>343</v>
      </c>
      <c r="J284" s="17" t="s">
        <v>344</v>
      </c>
      <c r="K284" s="17" t="n">
        <v>50</v>
      </c>
      <c r="L284" s="17" t="s">
        <v>81</v>
      </c>
      <c r="M284" s="17" t="s">
        <v>333</v>
      </c>
      <c r="N284" s="19" t="n">
        <v>45.04</v>
      </c>
      <c r="O284" s="19" t="n">
        <v>2252</v>
      </c>
      <c r="P284" s="17" t="s">
        <v>33</v>
      </c>
      <c r="Q284" s="20" t="n">
        <f aca="false">DATE(D284,C284,B284)</f>
        <v>44791</v>
      </c>
      <c r="R284" s="17" t="str">
        <f aca="false">IF(HOUR(E284)&lt;6,"Madrugada (0-5 h)",IF(HOUR(E284)&lt;12,"Mañana (6-11 h)",IF(HOUR(E284)&lt;18,"Tarde (12-17 h)","Noche (18-23 h)")))</f>
        <v>Mañana (6-11 h)</v>
      </c>
    </row>
    <row r="285" customFormat="false" ht="15" hidden="false" customHeight="false" outlineLevel="0" collapsed="false">
      <c r="A285" s="17" t="n">
        <v>1284</v>
      </c>
      <c r="B285" s="17" t="n">
        <v>6</v>
      </c>
      <c r="C285" s="17" t="n">
        <v>9</v>
      </c>
      <c r="D285" s="17" t="n">
        <v>2022</v>
      </c>
      <c r="E285" s="18" t="n">
        <v>0.6375</v>
      </c>
      <c r="F285" s="17" t="n">
        <v>3426</v>
      </c>
      <c r="G285" s="17" t="s">
        <v>345</v>
      </c>
      <c r="H285" s="17" t="s">
        <v>346</v>
      </c>
      <c r="I285" s="17" t="s">
        <v>347</v>
      </c>
      <c r="J285" s="17" t="s">
        <v>348</v>
      </c>
      <c r="K285" s="17" t="n">
        <v>33</v>
      </c>
      <c r="L285" s="17" t="s">
        <v>81</v>
      </c>
      <c r="M285" s="17" t="s">
        <v>32</v>
      </c>
      <c r="N285" s="19" t="n">
        <v>20.05</v>
      </c>
      <c r="O285" s="19" t="n">
        <v>661.65</v>
      </c>
      <c r="P285" s="17" t="s">
        <v>33</v>
      </c>
      <c r="Q285" s="20" t="n">
        <f aca="false">DATE(D285,C285,B285)</f>
        <v>44810</v>
      </c>
      <c r="R285" s="17" t="str">
        <f aca="false">IF(HOUR(E285)&lt;6,"Madrugada (0-5 h)",IF(HOUR(E285)&lt;12,"Mañana (6-11 h)",IF(HOUR(E285)&lt;18,"Tarde (12-17 h)","Noche (18-23 h)")))</f>
        <v>Tarde (12-17 h)</v>
      </c>
    </row>
    <row r="286" customFormat="false" ht="15" hidden="false" customHeight="false" outlineLevel="0" collapsed="false">
      <c r="A286" s="17" t="n">
        <v>1285</v>
      </c>
      <c r="B286" s="17" t="n">
        <v>9</v>
      </c>
      <c r="C286" s="17" t="n">
        <v>12</v>
      </c>
      <c r="D286" s="17" t="n">
        <v>2021</v>
      </c>
      <c r="E286" s="18" t="n">
        <v>0.0610416666666667</v>
      </c>
      <c r="F286" s="17" t="n">
        <v>2237</v>
      </c>
      <c r="G286" s="17" t="s">
        <v>349</v>
      </c>
      <c r="H286" s="17" t="s">
        <v>350</v>
      </c>
      <c r="I286" s="17" t="s">
        <v>351</v>
      </c>
      <c r="J286" s="17" t="s">
        <v>352</v>
      </c>
      <c r="K286" s="17" t="n">
        <v>17</v>
      </c>
      <c r="L286" s="17" t="s">
        <v>81</v>
      </c>
      <c r="M286" s="17" t="s">
        <v>32</v>
      </c>
      <c r="N286" s="19" t="n">
        <v>7.98</v>
      </c>
      <c r="O286" s="19" t="n">
        <v>135.66</v>
      </c>
      <c r="P286" s="17" t="s">
        <v>43</v>
      </c>
      <c r="Q286" s="20" t="n">
        <f aca="false">DATE(D286,C286,B286)</f>
        <v>44539</v>
      </c>
      <c r="R286" s="17" t="str">
        <f aca="false">IF(HOUR(E286)&lt;6,"Madrugada (0-5 h)",IF(HOUR(E286)&lt;12,"Mañana (6-11 h)",IF(HOUR(E286)&lt;18,"Tarde (12-17 h)","Noche (18-23 h)")))</f>
        <v>Madrugada (0-5 h)</v>
      </c>
    </row>
    <row r="287" customFormat="false" ht="15" hidden="false" customHeight="false" outlineLevel="0" collapsed="false">
      <c r="A287" s="17" t="n">
        <v>1286</v>
      </c>
      <c r="B287" s="17" t="n">
        <v>8</v>
      </c>
      <c r="C287" s="17" t="n">
        <v>7</v>
      </c>
      <c r="D287" s="17" t="n">
        <v>2022</v>
      </c>
      <c r="E287" s="18" t="n">
        <v>0.475543981481482</v>
      </c>
      <c r="F287" s="17" t="n">
        <v>2808</v>
      </c>
      <c r="G287" s="17" t="s">
        <v>353</v>
      </c>
      <c r="H287" s="17" t="s">
        <v>354</v>
      </c>
      <c r="I287" s="17" t="s">
        <v>355</v>
      </c>
      <c r="J287" s="17" t="s">
        <v>356</v>
      </c>
      <c r="K287" s="17" t="n">
        <v>30</v>
      </c>
      <c r="L287" s="17" t="s">
        <v>125</v>
      </c>
      <c r="M287" s="17" t="s">
        <v>82</v>
      </c>
      <c r="N287" s="19" t="n">
        <v>24.43</v>
      </c>
      <c r="O287" s="19" t="n">
        <v>732.9</v>
      </c>
      <c r="P287" s="17" t="s">
        <v>33</v>
      </c>
      <c r="Q287" s="20" t="n">
        <f aca="false">DATE(D287,C287,B287)</f>
        <v>44750</v>
      </c>
      <c r="R287" s="17" t="str">
        <f aca="false">IF(HOUR(E287)&lt;6,"Madrugada (0-5 h)",IF(HOUR(E287)&lt;12,"Mañana (6-11 h)",IF(HOUR(E287)&lt;18,"Tarde (12-17 h)","Noche (18-23 h)")))</f>
        <v>Mañana (6-11 h)</v>
      </c>
    </row>
    <row r="288" customFormat="false" ht="15" hidden="false" customHeight="false" outlineLevel="0" collapsed="false">
      <c r="A288" s="17" t="n">
        <v>1287</v>
      </c>
      <c r="B288" s="17" t="n">
        <v>21</v>
      </c>
      <c r="C288" s="17" t="n">
        <v>3</v>
      </c>
      <c r="D288" s="17" t="n">
        <v>2021</v>
      </c>
      <c r="E288" s="18" t="n">
        <v>0.275543981481482</v>
      </c>
      <c r="F288" s="17" t="n">
        <v>4891</v>
      </c>
      <c r="G288" s="17" t="s">
        <v>357</v>
      </c>
      <c r="H288" s="17" t="s">
        <v>358</v>
      </c>
      <c r="I288" s="17" t="s">
        <v>359</v>
      </c>
      <c r="J288" s="17" t="s">
        <v>360</v>
      </c>
      <c r="K288" s="17" t="n">
        <v>46</v>
      </c>
      <c r="L288" s="17" t="s">
        <v>81</v>
      </c>
      <c r="M288" s="17" t="s">
        <v>76</v>
      </c>
      <c r="N288" s="19" t="n">
        <v>6.3</v>
      </c>
      <c r="O288" s="19" t="n">
        <v>289.8</v>
      </c>
      <c r="P288" s="17" t="s">
        <v>33</v>
      </c>
      <c r="Q288" s="20" t="n">
        <f aca="false">DATE(D288,C288,B288)</f>
        <v>44276</v>
      </c>
      <c r="R288" s="17" t="str">
        <f aca="false">IF(HOUR(E288)&lt;6,"Madrugada (0-5 h)",IF(HOUR(E288)&lt;12,"Mañana (6-11 h)",IF(HOUR(E288)&lt;18,"Tarde (12-17 h)","Noche (18-23 h)")))</f>
        <v>Mañana (6-11 h)</v>
      </c>
    </row>
    <row r="289" customFormat="false" ht="15" hidden="false" customHeight="false" outlineLevel="0" collapsed="false">
      <c r="A289" s="17" t="n">
        <v>1288</v>
      </c>
      <c r="B289" s="17" t="n">
        <v>26</v>
      </c>
      <c r="C289" s="17" t="n">
        <v>4</v>
      </c>
      <c r="D289" s="17" t="n">
        <v>2022</v>
      </c>
      <c r="E289" s="18" t="n">
        <v>0.89443287037037</v>
      </c>
      <c r="F289" s="17" t="n">
        <v>2486</v>
      </c>
      <c r="G289" s="17" t="s">
        <v>361</v>
      </c>
      <c r="H289" s="17" t="s">
        <v>427</v>
      </c>
      <c r="I289" s="17" t="s">
        <v>363</v>
      </c>
      <c r="J289" s="17" t="s">
        <v>364</v>
      </c>
      <c r="K289" s="17" t="n">
        <v>46</v>
      </c>
      <c r="L289" s="17" t="s">
        <v>81</v>
      </c>
      <c r="M289" s="17" t="s">
        <v>76</v>
      </c>
      <c r="N289" s="19" t="n">
        <v>1.89</v>
      </c>
      <c r="O289" s="19" t="n">
        <v>86.94</v>
      </c>
      <c r="P289" s="17" t="s">
        <v>33</v>
      </c>
      <c r="Q289" s="20" t="n">
        <f aca="false">DATE(D289,C289,B289)</f>
        <v>44677</v>
      </c>
      <c r="R289" s="17" t="str">
        <f aca="false">IF(HOUR(E289)&lt;6,"Madrugada (0-5 h)",IF(HOUR(E289)&lt;12,"Mañana (6-11 h)",IF(HOUR(E289)&lt;18,"Tarde (12-17 h)","Noche (18-23 h)")))</f>
        <v>Noche (18-23 h)</v>
      </c>
    </row>
    <row r="290" customFormat="false" ht="15" hidden="false" customHeight="false" outlineLevel="0" collapsed="false">
      <c r="A290" s="17" t="n">
        <v>1289</v>
      </c>
      <c r="B290" s="17" t="n">
        <v>7</v>
      </c>
      <c r="C290" s="17" t="n">
        <v>4</v>
      </c>
      <c r="D290" s="17" t="n">
        <v>2021</v>
      </c>
      <c r="E290" s="18" t="n">
        <v>0.15712962962963</v>
      </c>
      <c r="F290" s="17" t="n">
        <v>1127</v>
      </c>
      <c r="G290" s="17" t="s">
        <v>365</v>
      </c>
      <c r="H290" s="17" t="s">
        <v>366</v>
      </c>
      <c r="I290" s="17" t="s">
        <v>367</v>
      </c>
      <c r="J290" s="17" t="s">
        <v>368</v>
      </c>
      <c r="K290" s="17" t="n">
        <v>28</v>
      </c>
      <c r="L290" s="17" t="s">
        <v>81</v>
      </c>
      <c r="M290" s="17" t="s">
        <v>32</v>
      </c>
      <c r="N290" s="19" t="n">
        <v>2.3</v>
      </c>
      <c r="O290" s="19" t="n">
        <v>64.4</v>
      </c>
      <c r="P290" s="17" t="s">
        <v>33</v>
      </c>
      <c r="Q290" s="20" t="n">
        <f aca="false">DATE(D290,C290,B290)</f>
        <v>44293</v>
      </c>
      <c r="R290" s="17" t="str">
        <f aca="false">IF(HOUR(E290)&lt;6,"Madrugada (0-5 h)",IF(HOUR(E290)&lt;12,"Mañana (6-11 h)",IF(HOUR(E290)&lt;18,"Tarde (12-17 h)","Noche (18-23 h)")))</f>
        <v>Madrugada (0-5 h)</v>
      </c>
    </row>
    <row r="291" customFormat="false" ht="15" hidden="false" customHeight="false" outlineLevel="0" collapsed="false">
      <c r="A291" s="17" t="n">
        <v>1290</v>
      </c>
      <c r="B291" s="17" t="n">
        <v>23</v>
      </c>
      <c r="C291" s="17" t="n">
        <v>12</v>
      </c>
      <c r="D291" s="17" t="n">
        <v>2021</v>
      </c>
      <c r="E291" s="18" t="n">
        <v>0.312025462962963</v>
      </c>
      <c r="F291" s="17" t="n">
        <v>4524</v>
      </c>
      <c r="G291" s="17" t="s">
        <v>369</v>
      </c>
      <c r="H291" s="17" t="s">
        <v>370</v>
      </c>
      <c r="I291" s="17" t="s">
        <v>371</v>
      </c>
      <c r="J291" s="17" t="s">
        <v>372</v>
      </c>
      <c r="K291" s="17" t="n">
        <v>48</v>
      </c>
      <c r="L291" s="17" t="s">
        <v>81</v>
      </c>
      <c r="M291" s="17" t="s">
        <v>32</v>
      </c>
      <c r="N291" s="19" t="n">
        <v>6.76</v>
      </c>
      <c r="O291" s="19" t="n">
        <v>324.48</v>
      </c>
      <c r="P291" s="17" t="s">
        <v>33</v>
      </c>
      <c r="Q291" s="20" t="n">
        <f aca="false">DATE(D291,C291,B291)</f>
        <v>44553</v>
      </c>
      <c r="R291" s="17" t="str">
        <f aca="false">IF(HOUR(E291)&lt;6,"Madrugada (0-5 h)",IF(HOUR(E291)&lt;12,"Mañana (6-11 h)",IF(HOUR(E291)&lt;18,"Tarde (12-17 h)","Noche (18-23 h)")))</f>
        <v>Mañana (6-11 h)</v>
      </c>
    </row>
    <row r="292" customFormat="false" ht="15" hidden="false" customHeight="false" outlineLevel="0" collapsed="false">
      <c r="A292" s="17" t="n">
        <v>1291</v>
      </c>
      <c r="B292" s="17" t="n">
        <v>13</v>
      </c>
      <c r="C292" s="17" t="n">
        <v>7</v>
      </c>
      <c r="D292" s="17" t="n">
        <v>2022</v>
      </c>
      <c r="E292" s="18" t="n">
        <v>0.330069444444445</v>
      </c>
      <c r="F292" s="17" t="n">
        <v>2377</v>
      </c>
      <c r="G292" s="17" t="s">
        <v>373</v>
      </c>
      <c r="H292" s="17" t="s">
        <v>374</v>
      </c>
      <c r="I292" s="17" t="s">
        <v>375</v>
      </c>
      <c r="J292" s="17" t="s">
        <v>376</v>
      </c>
      <c r="K292" s="17" t="n">
        <v>27</v>
      </c>
      <c r="L292" s="17" t="s">
        <v>81</v>
      </c>
      <c r="M292" s="17" t="s">
        <v>32</v>
      </c>
      <c r="N292" s="19" t="n">
        <v>7.3</v>
      </c>
      <c r="O292" s="19" t="n">
        <v>197.1</v>
      </c>
      <c r="P292" s="17" t="s">
        <v>43</v>
      </c>
      <c r="Q292" s="20" t="n">
        <f aca="false">DATE(D292,C292,B292)</f>
        <v>44755</v>
      </c>
      <c r="R292" s="17" t="str">
        <f aca="false">IF(HOUR(E292)&lt;6,"Madrugada (0-5 h)",IF(HOUR(E292)&lt;12,"Mañana (6-11 h)",IF(HOUR(E292)&lt;18,"Tarde (12-17 h)","Noche (18-23 h)")))</f>
        <v>Mañana (6-11 h)</v>
      </c>
    </row>
    <row r="293" customFormat="false" ht="15" hidden="false" customHeight="false" outlineLevel="0" collapsed="false">
      <c r="A293" s="17" t="n">
        <v>1292</v>
      </c>
      <c r="B293" s="17" t="n">
        <v>15</v>
      </c>
      <c r="C293" s="17" t="n">
        <v>2</v>
      </c>
      <c r="D293" s="17" t="n">
        <v>2021</v>
      </c>
      <c r="E293" s="18" t="n">
        <v>0.393912037037037</v>
      </c>
      <c r="F293" s="17" t="n">
        <v>1282</v>
      </c>
      <c r="G293" s="17" t="s">
        <v>377</v>
      </c>
      <c r="H293" s="17" t="s">
        <v>137</v>
      </c>
      <c r="I293" s="17" t="s">
        <v>428</v>
      </c>
      <c r="J293" s="17" t="s">
        <v>379</v>
      </c>
      <c r="K293" s="17" t="n">
        <v>16</v>
      </c>
      <c r="L293" s="17" t="s">
        <v>81</v>
      </c>
      <c r="M293" s="17" t="s">
        <v>32</v>
      </c>
      <c r="N293" s="19" t="n">
        <v>6.3</v>
      </c>
      <c r="O293" s="19" t="n">
        <v>100.8</v>
      </c>
      <c r="P293" s="17" t="s">
        <v>33</v>
      </c>
      <c r="Q293" s="20" t="n">
        <f aca="false">DATE(D293,C293,B293)</f>
        <v>44242</v>
      </c>
      <c r="R293" s="17" t="str">
        <f aca="false">IF(HOUR(E293)&lt;6,"Madrugada (0-5 h)",IF(HOUR(E293)&lt;12,"Mañana (6-11 h)",IF(HOUR(E293)&lt;18,"Tarde (12-17 h)","Noche (18-23 h)")))</f>
        <v>Mañana (6-11 h)</v>
      </c>
    </row>
    <row r="294" customFormat="false" ht="15" hidden="false" customHeight="false" outlineLevel="0" collapsed="false">
      <c r="A294" s="17" t="n">
        <v>1293</v>
      </c>
      <c r="B294" s="17" t="n">
        <v>2</v>
      </c>
      <c r="C294" s="17" t="n">
        <v>9</v>
      </c>
      <c r="D294" s="17" t="n">
        <v>2022</v>
      </c>
      <c r="E294" s="18" t="n">
        <v>0.231377314814815</v>
      </c>
      <c r="F294" s="17" t="n">
        <v>3162</v>
      </c>
      <c r="G294" s="17" t="s">
        <v>380</v>
      </c>
      <c r="H294" s="17" t="s">
        <v>333</v>
      </c>
      <c r="I294" s="17" t="s">
        <v>381</v>
      </c>
      <c r="J294" s="17" t="s">
        <v>382</v>
      </c>
      <c r="K294" s="17" t="n">
        <v>31</v>
      </c>
      <c r="L294" s="17" t="s">
        <v>81</v>
      </c>
      <c r="M294" s="17" t="s">
        <v>76</v>
      </c>
      <c r="N294" s="19" t="n">
        <v>5.23</v>
      </c>
      <c r="O294" s="19" t="n">
        <v>162.13</v>
      </c>
      <c r="P294" s="17" t="s">
        <v>33</v>
      </c>
      <c r="Q294" s="20" t="n">
        <f aca="false">DATE(D294,C294,B294)</f>
        <v>44806</v>
      </c>
      <c r="R294" s="17" t="str">
        <f aca="false">IF(HOUR(E294)&lt;6,"Madrugada (0-5 h)",IF(HOUR(E294)&lt;12,"Mañana (6-11 h)",IF(HOUR(E294)&lt;18,"Tarde (12-17 h)","Noche (18-23 h)")))</f>
        <v>Madrugada (0-5 h)</v>
      </c>
    </row>
    <row r="295" customFormat="false" ht="15" hidden="false" customHeight="false" outlineLevel="0" collapsed="false">
      <c r="A295" s="17" t="n">
        <v>1294</v>
      </c>
      <c r="B295" s="17" t="n">
        <v>9</v>
      </c>
      <c r="C295" s="17" t="n">
        <v>2</v>
      </c>
      <c r="D295" s="17" t="n">
        <v>2022</v>
      </c>
      <c r="E295" s="18" t="n">
        <v>0.902337962962963</v>
      </c>
      <c r="F295" s="17" t="n">
        <v>3444</v>
      </c>
      <c r="G295" s="17" t="s">
        <v>383</v>
      </c>
      <c r="H295" s="17" t="s">
        <v>384</v>
      </c>
      <c r="I295" s="17" t="s">
        <v>385</v>
      </c>
      <c r="J295" s="17" t="s">
        <v>386</v>
      </c>
      <c r="K295" s="17" t="n">
        <v>34</v>
      </c>
      <c r="L295" s="17" t="s">
        <v>31</v>
      </c>
      <c r="M295" s="17" t="s">
        <v>32</v>
      </c>
      <c r="N295" s="19" t="n">
        <v>2.01</v>
      </c>
      <c r="O295" s="19" t="n">
        <v>68.34</v>
      </c>
      <c r="P295" s="17" t="s">
        <v>33</v>
      </c>
      <c r="Q295" s="20" t="n">
        <f aca="false">DATE(D295,C295,B295)</f>
        <v>44601</v>
      </c>
      <c r="R295" s="17" t="str">
        <f aca="false">IF(HOUR(E295)&lt;6,"Madrugada (0-5 h)",IF(HOUR(E295)&lt;12,"Mañana (6-11 h)",IF(HOUR(E295)&lt;18,"Tarde (12-17 h)","Noche (18-23 h)")))</f>
        <v>Noche (18-23 h)</v>
      </c>
    </row>
    <row r="296" customFormat="false" ht="15" hidden="false" customHeight="false" outlineLevel="0" collapsed="false">
      <c r="A296" s="17" t="n">
        <v>1295</v>
      </c>
      <c r="B296" s="17" t="n">
        <v>16</v>
      </c>
      <c r="C296" s="17" t="n">
        <v>7</v>
      </c>
      <c r="D296" s="17" t="n">
        <v>2022</v>
      </c>
      <c r="E296" s="18" t="n">
        <v>0.57625</v>
      </c>
      <c r="F296" s="17" t="n">
        <v>2702</v>
      </c>
      <c r="G296" s="17" t="s">
        <v>387</v>
      </c>
      <c r="H296" s="17" t="s">
        <v>429</v>
      </c>
      <c r="I296" s="17" t="s">
        <v>389</v>
      </c>
      <c r="J296" s="17" t="s">
        <v>390</v>
      </c>
      <c r="K296" s="17" t="n">
        <v>7</v>
      </c>
      <c r="L296" s="17" t="s">
        <v>61</v>
      </c>
      <c r="M296" s="17" t="s">
        <v>32</v>
      </c>
      <c r="N296" s="19" t="n">
        <v>14.37</v>
      </c>
      <c r="O296" s="19" t="n">
        <v>100.59</v>
      </c>
      <c r="P296" s="17" t="s">
        <v>33</v>
      </c>
      <c r="Q296" s="20" t="n">
        <f aca="false">DATE(D296,C296,B296)</f>
        <v>44758</v>
      </c>
      <c r="R296" s="17" t="str">
        <f aca="false">IF(HOUR(E296)&lt;6,"Madrugada (0-5 h)",IF(HOUR(E296)&lt;12,"Mañana (6-11 h)",IF(HOUR(E296)&lt;18,"Tarde (12-17 h)","Noche (18-23 h)")))</f>
        <v>Tarde (12-17 h)</v>
      </c>
    </row>
    <row r="297" customFormat="false" ht="15" hidden="false" customHeight="false" outlineLevel="0" collapsed="false">
      <c r="A297" s="17" t="n">
        <v>1296</v>
      </c>
      <c r="B297" s="17" t="n">
        <v>10</v>
      </c>
      <c r="C297" s="17" t="n">
        <v>8</v>
      </c>
      <c r="D297" s="17" t="n">
        <v>2021</v>
      </c>
      <c r="E297" s="18" t="n">
        <v>0.999375</v>
      </c>
      <c r="F297" s="17" t="n">
        <v>1799</v>
      </c>
      <c r="G297" s="17" t="s">
        <v>391</v>
      </c>
      <c r="H297" s="17" t="s">
        <v>392</v>
      </c>
      <c r="I297" s="17" t="s">
        <v>393</v>
      </c>
      <c r="J297" s="17" t="s">
        <v>394</v>
      </c>
      <c r="K297" s="17" t="n">
        <v>24</v>
      </c>
      <c r="L297" s="17" t="s">
        <v>61</v>
      </c>
      <c r="M297" s="17" t="s">
        <v>32</v>
      </c>
      <c r="N297" s="19" t="n">
        <v>2.03</v>
      </c>
      <c r="O297" s="19" t="n">
        <v>48.72</v>
      </c>
      <c r="P297" s="17" t="s">
        <v>33</v>
      </c>
      <c r="Q297" s="20" t="n">
        <f aca="false">DATE(D297,C297,B297)</f>
        <v>44418</v>
      </c>
      <c r="R297" s="17" t="str">
        <f aca="false">IF(HOUR(E297)&lt;6,"Madrugada (0-5 h)",IF(HOUR(E297)&lt;12,"Mañana (6-11 h)",IF(HOUR(E297)&lt;18,"Tarde (12-17 h)","Noche (18-23 h)")))</f>
        <v>Noche (18-23 h)</v>
      </c>
    </row>
    <row r="298" customFormat="false" ht="15" hidden="false" customHeight="false" outlineLevel="0" collapsed="false">
      <c r="A298" s="17" t="n">
        <v>1297</v>
      </c>
      <c r="B298" s="17" t="n">
        <v>8</v>
      </c>
      <c r="C298" s="17" t="n">
        <v>12</v>
      </c>
      <c r="D298" s="17" t="n">
        <v>2021</v>
      </c>
      <c r="E298" s="18" t="n">
        <v>0.0397916666666667</v>
      </c>
      <c r="F298" s="17" t="n">
        <v>3893</v>
      </c>
      <c r="G298" s="17" t="s">
        <v>395</v>
      </c>
      <c r="H298" s="17" t="s">
        <v>396</v>
      </c>
      <c r="I298" s="17" t="s">
        <v>397</v>
      </c>
      <c r="J298" s="17" t="s">
        <v>398</v>
      </c>
      <c r="K298" s="17" t="n">
        <v>5</v>
      </c>
      <c r="L298" s="17" t="s">
        <v>61</v>
      </c>
      <c r="M298" s="17" t="s">
        <v>32</v>
      </c>
      <c r="N298" s="19" t="n">
        <v>16.45</v>
      </c>
      <c r="O298" s="19" t="n">
        <v>82.25</v>
      </c>
      <c r="P298" s="17" t="s">
        <v>33</v>
      </c>
      <c r="Q298" s="20" t="n">
        <f aca="false">DATE(D298,C298,B298)</f>
        <v>44538</v>
      </c>
      <c r="R298" s="17" t="str">
        <f aca="false">IF(HOUR(E298)&lt;6,"Madrugada (0-5 h)",IF(HOUR(E298)&lt;12,"Mañana (6-11 h)",IF(HOUR(E298)&lt;18,"Tarde (12-17 h)","Noche (18-23 h)")))</f>
        <v>Madrugada (0-5 h)</v>
      </c>
    </row>
    <row r="299" customFormat="false" ht="15" hidden="false" customHeight="false" outlineLevel="0" collapsed="false">
      <c r="A299" s="17" t="n">
        <v>1298</v>
      </c>
      <c r="B299" s="17" t="n">
        <v>16</v>
      </c>
      <c r="C299" s="17" t="n">
        <v>12</v>
      </c>
      <c r="D299" s="17" t="n">
        <v>2022</v>
      </c>
      <c r="E299" s="18" t="n">
        <v>0.892233796296296</v>
      </c>
      <c r="F299" s="17" t="n">
        <v>2442</v>
      </c>
      <c r="G299" s="17" t="s">
        <v>399</v>
      </c>
      <c r="H299" s="17" t="s">
        <v>400</v>
      </c>
      <c r="I299" s="17" t="s">
        <v>401</v>
      </c>
      <c r="J299" s="17" t="s">
        <v>402</v>
      </c>
      <c r="K299" s="17" t="n">
        <v>2</v>
      </c>
      <c r="L299" s="17" t="s">
        <v>98</v>
      </c>
      <c r="M299" s="17" t="s">
        <v>32</v>
      </c>
      <c r="N299" s="19" t="n">
        <v>15.52</v>
      </c>
      <c r="O299" s="19" t="n">
        <v>31.04</v>
      </c>
      <c r="P299" s="17" t="s">
        <v>43</v>
      </c>
      <c r="Q299" s="20" t="n">
        <f aca="false">DATE(D299,C299,B299)</f>
        <v>44911</v>
      </c>
      <c r="R299" s="17" t="str">
        <f aca="false">IF(HOUR(E299)&lt;6,"Madrugada (0-5 h)",IF(HOUR(E299)&lt;12,"Mañana (6-11 h)",IF(HOUR(E299)&lt;18,"Tarde (12-17 h)","Noche (18-23 h)")))</f>
        <v>Noche (18-23 h)</v>
      </c>
    </row>
    <row r="300" customFormat="false" ht="15" hidden="false" customHeight="false" outlineLevel="0" collapsed="false">
      <c r="A300" s="17" t="n">
        <v>1299</v>
      </c>
      <c r="B300" s="17" t="n">
        <v>25</v>
      </c>
      <c r="C300" s="17" t="n">
        <v>8</v>
      </c>
      <c r="D300" s="17" t="n">
        <v>2021</v>
      </c>
      <c r="E300" s="18" t="n">
        <v>0.174074074074074</v>
      </c>
      <c r="F300" s="17" t="n">
        <v>1058</v>
      </c>
      <c r="G300" s="17" t="s">
        <v>403</v>
      </c>
      <c r="H300" s="17" t="s">
        <v>404</v>
      </c>
      <c r="I300" s="17" t="s">
        <v>405</v>
      </c>
      <c r="J300" s="17" t="s">
        <v>406</v>
      </c>
      <c r="K300" s="17" t="n">
        <v>33</v>
      </c>
      <c r="L300" s="17" t="s">
        <v>31</v>
      </c>
      <c r="M300" s="17" t="s">
        <v>333</v>
      </c>
      <c r="N300" s="19" t="n">
        <v>5.98</v>
      </c>
      <c r="O300" s="19" t="n">
        <v>197.34</v>
      </c>
      <c r="P300" s="17" t="s">
        <v>43</v>
      </c>
      <c r="Q300" s="20" t="n">
        <f aca="false">DATE(D300,C300,B300)</f>
        <v>44433</v>
      </c>
      <c r="R300" s="17" t="str">
        <f aca="false">IF(HOUR(E300)&lt;6,"Madrugada (0-5 h)",IF(HOUR(E300)&lt;12,"Mañana (6-11 h)",IF(HOUR(E300)&lt;18,"Tarde (12-17 h)","Noche (18-23 h)")))</f>
        <v>Madrugada (0-5 h)</v>
      </c>
    </row>
    <row r="301" customFormat="false" ht="15" hidden="false" customHeight="false" outlineLevel="0" collapsed="false">
      <c r="A301" s="17" t="n">
        <v>1300</v>
      </c>
      <c r="B301" s="17" t="n">
        <v>2</v>
      </c>
      <c r="C301" s="17" t="n">
        <v>12</v>
      </c>
      <c r="D301" s="17" t="n">
        <v>2022</v>
      </c>
      <c r="E301" s="18" t="n">
        <v>0.362685185185185</v>
      </c>
      <c r="F301" s="17" t="n">
        <v>3824</v>
      </c>
      <c r="G301" s="17" t="s">
        <v>407</v>
      </c>
      <c r="H301" s="17" t="s">
        <v>408</v>
      </c>
      <c r="I301" s="17" t="s">
        <v>409</v>
      </c>
      <c r="J301" s="17" t="s">
        <v>410</v>
      </c>
      <c r="K301" s="17" t="n">
        <v>1</v>
      </c>
      <c r="L301" s="17" t="s">
        <v>81</v>
      </c>
      <c r="M301" s="17" t="s">
        <v>333</v>
      </c>
      <c r="N301" s="19" t="n">
        <v>0.5</v>
      </c>
      <c r="O301" s="19" t="n">
        <v>0.5</v>
      </c>
      <c r="P301" s="17" t="s">
        <v>33</v>
      </c>
      <c r="Q301" s="20" t="n">
        <f aca="false">DATE(D301,C301,B301)</f>
        <v>44897</v>
      </c>
      <c r="R301" s="17" t="str">
        <f aca="false">IF(HOUR(E301)&lt;6,"Madrugada (0-5 h)",IF(HOUR(E301)&lt;12,"Mañana (6-11 h)",IF(HOUR(E301)&lt;18,"Tarde (12-17 h)","Noche (18-23 h)")))</f>
        <v>Mañana (6-11 h)</v>
      </c>
    </row>
    <row r="302" customFormat="false" ht="15" hidden="false" customHeight="false" outlineLevel="0" collapsed="false">
      <c r="A302" s="17" t="n">
        <v>1301</v>
      </c>
      <c r="B302" s="17" t="n">
        <v>14</v>
      </c>
      <c r="C302" s="17" t="n">
        <v>11</v>
      </c>
      <c r="D302" s="17" t="n">
        <v>2020</v>
      </c>
      <c r="E302" s="18" t="n">
        <v>0.171956018518519</v>
      </c>
      <c r="F302" s="17" t="n">
        <v>1296</v>
      </c>
      <c r="G302" s="17" t="s">
        <v>27</v>
      </c>
      <c r="H302" s="17" t="s">
        <v>28</v>
      </c>
      <c r="I302" s="17" t="s">
        <v>29</v>
      </c>
      <c r="J302" s="17" t="s">
        <v>30</v>
      </c>
      <c r="K302" s="17" t="n">
        <v>5</v>
      </c>
      <c r="L302" s="17" t="s">
        <v>31</v>
      </c>
      <c r="M302" s="17" t="s">
        <v>32</v>
      </c>
      <c r="N302" s="19" t="n">
        <v>3.56</v>
      </c>
      <c r="O302" s="19" t="n">
        <v>17.8</v>
      </c>
      <c r="P302" s="17" t="s">
        <v>33</v>
      </c>
      <c r="Q302" s="20" t="n">
        <f aca="false">DATE(D302,C302,B302)</f>
        <v>44149</v>
      </c>
      <c r="R302" s="17" t="str">
        <f aca="false">IF(HOUR(E302)&lt;6,"Madrugada (0-5 h)",IF(HOUR(E302)&lt;12,"Mañana (6-11 h)",IF(HOUR(E302)&lt;18,"Tarde (12-17 h)","Noche (18-23 h)")))</f>
        <v>Madrugada (0-5 h)</v>
      </c>
    </row>
    <row r="303" customFormat="false" ht="15" hidden="false" customHeight="false" outlineLevel="0" collapsed="false">
      <c r="A303" s="17" t="n">
        <v>1302</v>
      </c>
      <c r="B303" s="17" t="n">
        <v>14</v>
      </c>
      <c r="C303" s="17" t="n">
        <v>8</v>
      </c>
      <c r="D303" s="17" t="n">
        <v>2021</v>
      </c>
      <c r="E303" s="18" t="n">
        <v>0.193055555555556</v>
      </c>
      <c r="F303" s="17" t="n">
        <v>1527</v>
      </c>
      <c r="G303" s="17" t="s">
        <v>34</v>
      </c>
      <c r="H303" s="17" t="s">
        <v>35</v>
      </c>
      <c r="I303" s="17" t="s">
        <v>36</v>
      </c>
      <c r="J303" s="17" t="s">
        <v>37</v>
      </c>
      <c r="K303" s="17" t="n">
        <v>46</v>
      </c>
      <c r="L303" s="17" t="s">
        <v>31</v>
      </c>
      <c r="M303" s="17" t="s">
        <v>32</v>
      </c>
      <c r="N303" s="19" t="n">
        <v>3.21</v>
      </c>
      <c r="O303" s="19" t="n">
        <v>147.66</v>
      </c>
      <c r="P303" s="17" t="s">
        <v>33</v>
      </c>
      <c r="Q303" s="20" t="n">
        <f aca="false">DATE(D303,C303,B303)</f>
        <v>44422</v>
      </c>
      <c r="R303" s="17" t="str">
        <f aca="false">IF(HOUR(E303)&lt;6,"Madrugada (0-5 h)",IF(HOUR(E303)&lt;12,"Mañana (6-11 h)",IF(HOUR(E303)&lt;18,"Tarde (12-17 h)","Noche (18-23 h)")))</f>
        <v>Madrugada (0-5 h)</v>
      </c>
    </row>
    <row r="304" customFormat="false" ht="15" hidden="false" customHeight="false" outlineLevel="0" collapsed="false">
      <c r="A304" s="17" t="n">
        <v>1303</v>
      </c>
      <c r="B304" s="17" t="n">
        <v>19</v>
      </c>
      <c r="C304" s="17" t="n">
        <v>12</v>
      </c>
      <c r="D304" s="17" t="n">
        <v>2022</v>
      </c>
      <c r="E304" s="18" t="n">
        <v>0.6778125</v>
      </c>
      <c r="F304" s="17" t="n">
        <v>1549</v>
      </c>
      <c r="G304" s="17" t="s">
        <v>38</v>
      </c>
      <c r="H304" s="17" t="s">
        <v>430</v>
      </c>
      <c r="I304" s="17" t="s">
        <v>40</v>
      </c>
      <c r="J304" s="17" t="s">
        <v>41</v>
      </c>
      <c r="K304" s="17" t="n">
        <v>1</v>
      </c>
      <c r="L304" s="17" t="s">
        <v>42</v>
      </c>
      <c r="M304" s="17" t="s">
        <v>32</v>
      </c>
      <c r="N304" s="19" t="n">
        <v>12.36</v>
      </c>
      <c r="O304" s="19" t="n">
        <v>12.36</v>
      </c>
      <c r="P304" s="17" t="s">
        <v>43</v>
      </c>
      <c r="Q304" s="20" t="n">
        <f aca="false">DATE(D304,C304,B304)</f>
        <v>44914</v>
      </c>
      <c r="R304" s="17" t="str">
        <f aca="false">IF(HOUR(E304)&lt;6,"Madrugada (0-5 h)",IF(HOUR(E304)&lt;12,"Mañana (6-11 h)",IF(HOUR(E304)&lt;18,"Tarde (12-17 h)","Noche (18-23 h)")))</f>
        <v>Tarde (12-17 h)</v>
      </c>
    </row>
    <row r="305" customFormat="false" ht="15" hidden="false" customHeight="false" outlineLevel="0" collapsed="false">
      <c r="A305" s="17" t="n">
        <v>1304</v>
      </c>
      <c r="B305" s="17" t="n">
        <v>6</v>
      </c>
      <c r="C305" s="17" t="n">
        <v>10</v>
      </c>
      <c r="D305" s="17" t="n">
        <v>2022</v>
      </c>
      <c r="E305" s="18" t="n">
        <v>0.47087962962963</v>
      </c>
      <c r="F305" s="17" t="n">
        <v>4596</v>
      </c>
      <c r="G305" s="17" t="s">
        <v>44</v>
      </c>
      <c r="H305" s="17" t="s">
        <v>45</v>
      </c>
      <c r="I305" s="17" t="s">
        <v>46</v>
      </c>
      <c r="J305" s="17" t="s">
        <v>47</v>
      </c>
      <c r="K305" s="17" t="n">
        <v>3</v>
      </c>
      <c r="L305" s="17" t="s">
        <v>31</v>
      </c>
      <c r="M305" s="17" t="s">
        <v>48</v>
      </c>
      <c r="N305" s="19" t="n">
        <v>10.03</v>
      </c>
      <c r="O305" s="19" t="n">
        <v>30.09</v>
      </c>
      <c r="P305" s="17" t="s">
        <v>33</v>
      </c>
      <c r="Q305" s="20" t="n">
        <f aca="false">DATE(D305,C305,B305)</f>
        <v>44840</v>
      </c>
      <c r="R305" s="17" t="str">
        <f aca="false">IF(HOUR(E305)&lt;6,"Madrugada (0-5 h)",IF(HOUR(E305)&lt;12,"Mañana (6-11 h)",IF(HOUR(E305)&lt;18,"Tarde (12-17 h)","Noche (18-23 h)")))</f>
        <v>Mañana (6-11 h)</v>
      </c>
    </row>
    <row r="306" customFormat="false" ht="15" hidden="false" customHeight="false" outlineLevel="0" collapsed="false">
      <c r="A306" s="17" t="n">
        <v>1305</v>
      </c>
      <c r="B306" s="17" t="n">
        <v>25</v>
      </c>
      <c r="C306" s="17" t="n">
        <v>7</v>
      </c>
      <c r="D306" s="17" t="n">
        <v>2021</v>
      </c>
      <c r="E306" s="18" t="n">
        <v>0.300532407407407</v>
      </c>
      <c r="F306" s="17" t="n">
        <v>4751</v>
      </c>
      <c r="G306" s="17" t="s">
        <v>49</v>
      </c>
      <c r="H306" s="17" t="s">
        <v>50</v>
      </c>
      <c r="I306" s="17" t="s">
        <v>51</v>
      </c>
      <c r="J306" s="17" t="s">
        <v>52</v>
      </c>
      <c r="K306" s="17" t="n">
        <v>18</v>
      </c>
      <c r="L306" s="17" t="s">
        <v>31</v>
      </c>
      <c r="M306" s="17" t="s">
        <v>48</v>
      </c>
      <c r="N306" s="19" t="n">
        <v>16.05</v>
      </c>
      <c r="O306" s="19" t="n">
        <v>288.9</v>
      </c>
      <c r="P306" s="17" t="s">
        <v>33</v>
      </c>
      <c r="Q306" s="20" t="n">
        <f aca="false">DATE(D306,C306,B306)</f>
        <v>44402</v>
      </c>
      <c r="R306" s="17" t="str">
        <f aca="false">IF(HOUR(E306)&lt;6,"Madrugada (0-5 h)",IF(HOUR(E306)&lt;12,"Mañana (6-11 h)",IF(HOUR(E306)&lt;18,"Tarde (12-17 h)","Noche (18-23 h)")))</f>
        <v>Mañana (6-11 h)</v>
      </c>
    </row>
    <row r="307" customFormat="false" ht="15" hidden="false" customHeight="false" outlineLevel="0" collapsed="false">
      <c r="A307" s="17" t="n">
        <v>1306</v>
      </c>
      <c r="B307" s="17" t="n">
        <v>20</v>
      </c>
      <c r="C307" s="17" t="n">
        <v>4</v>
      </c>
      <c r="D307" s="17" t="n">
        <v>2021</v>
      </c>
      <c r="E307" s="18" t="n">
        <v>0.230150462962963</v>
      </c>
      <c r="F307" s="17" t="n">
        <v>4710</v>
      </c>
      <c r="G307" s="17" t="s">
        <v>53</v>
      </c>
      <c r="H307" s="17" t="s">
        <v>54</v>
      </c>
      <c r="I307" s="17" t="s">
        <v>55</v>
      </c>
      <c r="J307" s="17" t="s">
        <v>56</v>
      </c>
      <c r="K307" s="17" t="n">
        <v>28</v>
      </c>
      <c r="L307" s="17" t="s">
        <v>31</v>
      </c>
      <c r="M307" s="17" t="s">
        <v>48</v>
      </c>
      <c r="N307" s="19" t="n">
        <v>16.5</v>
      </c>
      <c r="O307" s="19" t="n">
        <v>462</v>
      </c>
      <c r="P307" s="17" t="s">
        <v>33</v>
      </c>
      <c r="Q307" s="20" t="n">
        <f aca="false">DATE(D307,C307,B307)</f>
        <v>44306</v>
      </c>
      <c r="R307" s="17" t="str">
        <f aca="false">IF(HOUR(E307)&lt;6,"Madrugada (0-5 h)",IF(HOUR(E307)&lt;12,"Mañana (6-11 h)",IF(HOUR(E307)&lt;18,"Tarde (12-17 h)","Noche (18-23 h)")))</f>
        <v>Madrugada (0-5 h)</v>
      </c>
    </row>
    <row r="308" customFormat="false" ht="15" hidden="false" customHeight="false" outlineLevel="0" collapsed="false">
      <c r="A308" s="17" t="n">
        <v>1307</v>
      </c>
      <c r="B308" s="17" t="n">
        <v>12</v>
      </c>
      <c r="C308" s="17" t="n">
        <v>2</v>
      </c>
      <c r="D308" s="17" t="n">
        <v>2021</v>
      </c>
      <c r="E308" s="18" t="n">
        <v>0.71587962962963</v>
      </c>
      <c r="F308" s="17" t="n">
        <v>1800</v>
      </c>
      <c r="G308" s="17" t="s">
        <v>57</v>
      </c>
      <c r="H308" s="17" t="s">
        <v>58</v>
      </c>
      <c r="I308" s="17" t="s">
        <v>59</v>
      </c>
      <c r="J308" s="17" t="s">
        <v>60</v>
      </c>
      <c r="K308" s="17" t="n">
        <v>14</v>
      </c>
      <c r="L308" s="17" t="s">
        <v>61</v>
      </c>
      <c r="M308" s="17" t="s">
        <v>62</v>
      </c>
      <c r="N308" s="19" t="n">
        <v>4.13</v>
      </c>
      <c r="O308" s="19" t="n">
        <v>57.82</v>
      </c>
      <c r="P308" s="17" t="s">
        <v>43</v>
      </c>
      <c r="Q308" s="20" t="n">
        <f aca="false">DATE(D308,C308,B308)</f>
        <v>44239</v>
      </c>
      <c r="R308" s="17" t="str">
        <f aca="false">IF(HOUR(E308)&lt;6,"Madrugada (0-5 h)",IF(HOUR(E308)&lt;12,"Mañana (6-11 h)",IF(HOUR(E308)&lt;18,"Tarde (12-17 h)","Noche (18-23 h)")))</f>
        <v>Tarde (12-17 h)</v>
      </c>
    </row>
    <row r="309" customFormat="false" ht="15" hidden="false" customHeight="false" outlineLevel="0" collapsed="false">
      <c r="A309" s="17" t="n">
        <v>1308</v>
      </c>
      <c r="B309" s="17" t="n">
        <v>4</v>
      </c>
      <c r="C309" s="17" t="n">
        <v>7</v>
      </c>
      <c r="D309" s="17" t="n">
        <v>2021</v>
      </c>
      <c r="E309" s="18" t="n">
        <v>0.578773148148148</v>
      </c>
      <c r="F309" s="17" t="n">
        <v>3724</v>
      </c>
      <c r="G309" s="17" t="s">
        <v>63</v>
      </c>
      <c r="H309" s="17" t="s">
        <v>64</v>
      </c>
      <c r="I309" s="17" t="s">
        <v>65</v>
      </c>
      <c r="J309" s="17" t="s">
        <v>66</v>
      </c>
      <c r="K309" s="17" t="n">
        <v>24</v>
      </c>
      <c r="L309" s="17" t="s">
        <v>61</v>
      </c>
      <c r="M309" s="17" t="s">
        <v>32</v>
      </c>
      <c r="N309" s="19" t="n">
        <v>11.5</v>
      </c>
      <c r="O309" s="19" t="n">
        <v>276</v>
      </c>
      <c r="P309" s="17" t="s">
        <v>33</v>
      </c>
      <c r="Q309" s="20" t="n">
        <f aca="false">DATE(D309,C309,B309)</f>
        <v>44381</v>
      </c>
      <c r="R309" s="17" t="str">
        <f aca="false">IF(HOUR(E309)&lt;6,"Madrugada (0-5 h)",IF(HOUR(E309)&lt;12,"Mañana (6-11 h)",IF(HOUR(E309)&lt;18,"Tarde (12-17 h)","Noche (18-23 h)")))</f>
        <v>Tarde (12-17 h)</v>
      </c>
    </row>
    <row r="310" customFormat="false" ht="15" hidden="false" customHeight="false" outlineLevel="0" collapsed="false">
      <c r="A310" s="17" t="n">
        <v>1309</v>
      </c>
      <c r="B310" s="17" t="n">
        <v>13</v>
      </c>
      <c r="C310" s="17" t="n">
        <v>2</v>
      </c>
      <c r="D310" s="17" t="n">
        <v>2022</v>
      </c>
      <c r="E310" s="18" t="n">
        <v>0.213715277777778</v>
      </c>
      <c r="F310" s="17" t="n">
        <v>1337</v>
      </c>
      <c r="G310" s="17" t="s">
        <v>67</v>
      </c>
      <c r="H310" s="17" t="s">
        <v>68</v>
      </c>
      <c r="I310" s="17" t="s">
        <v>69</v>
      </c>
      <c r="J310" s="17" t="s">
        <v>70</v>
      </c>
      <c r="K310" s="17" t="n">
        <v>36</v>
      </c>
      <c r="L310" s="17" t="s">
        <v>31</v>
      </c>
      <c r="M310" s="17" t="s">
        <v>71</v>
      </c>
      <c r="N310" s="19" t="n">
        <v>5.5</v>
      </c>
      <c r="O310" s="19" t="n">
        <v>198</v>
      </c>
      <c r="P310" s="17" t="s">
        <v>33</v>
      </c>
      <c r="Q310" s="20" t="n">
        <f aca="false">DATE(D310,C310,B310)</f>
        <v>44605</v>
      </c>
      <c r="R310" s="17" t="str">
        <f aca="false">IF(HOUR(E310)&lt;6,"Madrugada (0-5 h)",IF(HOUR(E310)&lt;12,"Mañana (6-11 h)",IF(HOUR(E310)&lt;18,"Tarde (12-17 h)","Noche (18-23 h)")))</f>
        <v>Madrugada (0-5 h)</v>
      </c>
    </row>
    <row r="311" customFormat="false" ht="15" hidden="false" customHeight="false" outlineLevel="0" collapsed="false">
      <c r="A311" s="17" t="n">
        <v>1310</v>
      </c>
      <c r="B311" s="17" t="n">
        <v>12</v>
      </c>
      <c r="C311" s="17" t="n">
        <v>4</v>
      </c>
      <c r="D311" s="17" t="n">
        <v>2022</v>
      </c>
      <c r="E311" s="18" t="n">
        <v>0.651435185185185</v>
      </c>
      <c r="F311" s="17" t="n">
        <v>2115</v>
      </c>
      <c r="G311" s="17" t="s">
        <v>72</v>
      </c>
      <c r="H311" s="17" t="s">
        <v>73</v>
      </c>
      <c r="I311" s="17" t="s">
        <v>74</v>
      </c>
      <c r="J311" s="17" t="s">
        <v>75</v>
      </c>
      <c r="K311" s="17" t="n">
        <v>5</v>
      </c>
      <c r="L311" s="17" t="s">
        <v>61</v>
      </c>
      <c r="M311" s="17" t="s">
        <v>76</v>
      </c>
      <c r="N311" s="19" t="n">
        <v>13.71</v>
      </c>
      <c r="O311" s="19" t="n">
        <v>68.55</v>
      </c>
      <c r="P311" s="17" t="s">
        <v>33</v>
      </c>
      <c r="Q311" s="20" t="n">
        <f aca="false">DATE(D311,C311,B311)</f>
        <v>44663</v>
      </c>
      <c r="R311" s="17" t="str">
        <f aca="false">IF(HOUR(E311)&lt;6,"Madrugada (0-5 h)",IF(HOUR(E311)&lt;12,"Mañana (6-11 h)",IF(HOUR(E311)&lt;18,"Tarde (12-17 h)","Noche (18-23 h)")))</f>
        <v>Tarde (12-17 h)</v>
      </c>
    </row>
    <row r="312" customFormat="false" ht="15" hidden="false" customHeight="false" outlineLevel="0" collapsed="false">
      <c r="A312" s="17" t="n">
        <v>1311</v>
      </c>
      <c r="B312" s="17" t="n">
        <v>2</v>
      </c>
      <c r="C312" s="17" t="n">
        <v>2</v>
      </c>
      <c r="D312" s="17" t="n">
        <v>2022</v>
      </c>
      <c r="E312" s="18" t="n">
        <v>0.83275462962963</v>
      </c>
      <c r="F312" s="17" t="n">
        <v>2633</v>
      </c>
      <c r="G312" s="17" t="s">
        <v>77</v>
      </c>
      <c r="H312" s="17" t="s">
        <v>78</v>
      </c>
      <c r="I312" s="17" t="s">
        <v>79</v>
      </c>
      <c r="J312" s="17" t="s">
        <v>80</v>
      </c>
      <c r="K312" s="17" t="n">
        <v>11</v>
      </c>
      <c r="L312" s="17" t="s">
        <v>412</v>
      </c>
      <c r="M312" s="17" t="s">
        <v>82</v>
      </c>
      <c r="N312" s="19" t="n">
        <v>7.89</v>
      </c>
      <c r="O312" s="19" t="n">
        <v>86.79</v>
      </c>
      <c r="P312" s="17" t="s">
        <v>33</v>
      </c>
      <c r="Q312" s="20" t="n">
        <f aca="false">DATE(D312,C312,B312)</f>
        <v>44594</v>
      </c>
      <c r="R312" s="17" t="str">
        <f aca="false">IF(HOUR(E312)&lt;6,"Madrugada (0-5 h)",IF(HOUR(E312)&lt;12,"Mañana (6-11 h)",IF(HOUR(E312)&lt;18,"Tarde (12-17 h)","Noche (18-23 h)")))</f>
        <v>Noche (18-23 h)</v>
      </c>
    </row>
    <row r="313" customFormat="false" ht="15" hidden="false" customHeight="false" outlineLevel="0" collapsed="false">
      <c r="A313" s="17" t="n">
        <v>1312</v>
      </c>
      <c r="B313" s="17" t="n">
        <v>28</v>
      </c>
      <c r="C313" s="17" t="n">
        <v>5</v>
      </c>
      <c r="D313" s="17" t="n">
        <v>2021</v>
      </c>
      <c r="E313" s="18" t="n">
        <v>0.971122685185185</v>
      </c>
      <c r="F313" s="17" t="n">
        <v>2088</v>
      </c>
      <c r="G313" s="17" t="s">
        <v>83</v>
      </c>
      <c r="H313" s="17" t="s">
        <v>84</v>
      </c>
      <c r="I313" s="17" t="s">
        <v>85</v>
      </c>
      <c r="J313" s="17" t="s">
        <v>86</v>
      </c>
      <c r="K313" s="17" t="n">
        <v>1</v>
      </c>
      <c r="L313" s="17" t="s">
        <v>42</v>
      </c>
      <c r="M313" s="17" t="s">
        <v>32</v>
      </c>
      <c r="N313" s="19" t="n">
        <v>6</v>
      </c>
      <c r="O313" s="19" t="n">
        <v>6</v>
      </c>
      <c r="P313" s="17" t="s">
        <v>43</v>
      </c>
      <c r="Q313" s="20" t="n">
        <f aca="false">DATE(D313,C313,B313)</f>
        <v>44344</v>
      </c>
      <c r="R313" s="17" t="str">
        <f aca="false">IF(HOUR(E313)&lt;6,"Madrugada (0-5 h)",IF(HOUR(E313)&lt;12,"Mañana (6-11 h)",IF(HOUR(E313)&lt;18,"Tarde (12-17 h)","Noche (18-23 h)")))</f>
        <v>Noche (18-23 h)</v>
      </c>
    </row>
    <row r="314" customFormat="false" ht="15" hidden="false" customHeight="false" outlineLevel="0" collapsed="false">
      <c r="A314" s="17" t="n">
        <v>1313</v>
      </c>
      <c r="B314" s="17" t="n">
        <v>14</v>
      </c>
      <c r="C314" s="17" t="n">
        <v>10</v>
      </c>
      <c r="D314" s="17" t="n">
        <v>2022</v>
      </c>
      <c r="E314" s="18" t="n">
        <v>0.643321759259259</v>
      </c>
      <c r="F314" s="17" t="n">
        <v>1314</v>
      </c>
      <c r="G314" s="17" t="s">
        <v>87</v>
      </c>
      <c r="H314" s="17" t="s">
        <v>88</v>
      </c>
      <c r="I314" s="17" t="s">
        <v>89</v>
      </c>
      <c r="J314" s="17" t="s">
        <v>90</v>
      </c>
      <c r="K314" s="17" t="n">
        <v>38</v>
      </c>
      <c r="L314" s="17" t="s">
        <v>31</v>
      </c>
      <c r="M314" s="17" t="s">
        <v>48</v>
      </c>
      <c r="N314" s="19" t="n">
        <v>13.54</v>
      </c>
      <c r="O314" s="19" t="n">
        <v>514.52</v>
      </c>
      <c r="P314" s="17" t="s">
        <v>33</v>
      </c>
      <c r="Q314" s="20" t="n">
        <f aca="false">DATE(D314,C314,B314)</f>
        <v>44848</v>
      </c>
      <c r="R314" s="17" t="str">
        <f aca="false">IF(HOUR(E314)&lt;6,"Madrugada (0-5 h)",IF(HOUR(E314)&lt;12,"Mañana (6-11 h)",IF(HOUR(E314)&lt;18,"Tarde (12-17 h)","Noche (18-23 h)")))</f>
        <v>Tarde (12-17 h)</v>
      </c>
    </row>
    <row r="315" customFormat="false" ht="15" hidden="false" customHeight="false" outlineLevel="0" collapsed="false">
      <c r="A315" s="17" t="n">
        <v>1314</v>
      </c>
      <c r="B315" s="17" t="n">
        <v>8</v>
      </c>
      <c r="C315" s="17" t="n">
        <v>3</v>
      </c>
      <c r="D315" s="17" t="n">
        <v>2022</v>
      </c>
      <c r="E315" s="18" t="n">
        <v>0.838703703703704</v>
      </c>
      <c r="F315" s="17" t="n">
        <v>1549</v>
      </c>
      <c r="G315" s="17" t="s">
        <v>91</v>
      </c>
      <c r="H315" s="17" t="s">
        <v>92</v>
      </c>
      <c r="I315" s="17" t="s">
        <v>93</v>
      </c>
      <c r="J315" s="17" t="s">
        <v>94</v>
      </c>
      <c r="K315" s="17" t="n">
        <v>31</v>
      </c>
      <c r="L315" s="17" t="s">
        <v>61</v>
      </c>
      <c r="M315" s="17" t="s">
        <v>32</v>
      </c>
      <c r="N315" s="19" t="n">
        <v>4.12</v>
      </c>
      <c r="O315" s="19" t="n">
        <v>127.72</v>
      </c>
      <c r="P315" s="17" t="s">
        <v>33</v>
      </c>
      <c r="Q315" s="20" t="n">
        <f aca="false">DATE(D315,C315,B315)</f>
        <v>44628</v>
      </c>
      <c r="R315" s="17" t="str">
        <f aca="false">IF(HOUR(E315)&lt;6,"Madrugada (0-5 h)",IF(HOUR(E315)&lt;12,"Mañana (6-11 h)",IF(HOUR(E315)&lt;18,"Tarde (12-17 h)","Noche (18-23 h)")))</f>
        <v>Noche (18-23 h)</v>
      </c>
    </row>
    <row r="316" customFormat="false" ht="15" hidden="false" customHeight="false" outlineLevel="0" collapsed="false">
      <c r="A316" s="17" t="n">
        <v>1315</v>
      </c>
      <c r="B316" s="17" t="n">
        <v>2</v>
      </c>
      <c r="C316" s="17" t="n">
        <v>8</v>
      </c>
      <c r="D316" s="17" t="n">
        <v>2021</v>
      </c>
      <c r="E316" s="18" t="n">
        <v>0.369814814814815</v>
      </c>
      <c r="F316" s="17" t="n">
        <v>3516</v>
      </c>
      <c r="G316" s="17" t="s">
        <v>95</v>
      </c>
      <c r="H316" s="17" t="s">
        <v>96</v>
      </c>
      <c r="I316" s="17" t="s">
        <v>97</v>
      </c>
      <c r="J316" s="17" t="s">
        <v>97</v>
      </c>
      <c r="K316" s="17" t="n">
        <v>14</v>
      </c>
      <c r="L316" s="17" t="s">
        <v>98</v>
      </c>
      <c r="M316" s="17" t="s">
        <v>48</v>
      </c>
      <c r="N316" s="19" t="n">
        <v>4.33</v>
      </c>
      <c r="O316" s="19" t="n">
        <v>60.62</v>
      </c>
      <c r="P316" s="17" t="s">
        <v>33</v>
      </c>
      <c r="Q316" s="20" t="n">
        <f aca="false">DATE(D316,C316,B316)</f>
        <v>44410</v>
      </c>
      <c r="R316" s="17" t="str">
        <f aca="false">IF(HOUR(E316)&lt;6,"Madrugada (0-5 h)",IF(HOUR(E316)&lt;12,"Mañana (6-11 h)",IF(HOUR(E316)&lt;18,"Tarde (12-17 h)","Noche (18-23 h)")))</f>
        <v>Mañana (6-11 h)</v>
      </c>
    </row>
    <row r="317" customFormat="false" ht="15" hidden="false" customHeight="false" outlineLevel="0" collapsed="false">
      <c r="A317" s="17" t="n">
        <v>1316</v>
      </c>
      <c r="B317" s="17" t="n">
        <v>22</v>
      </c>
      <c r="C317" s="17" t="n">
        <v>6</v>
      </c>
      <c r="D317" s="17" t="n">
        <v>2021</v>
      </c>
      <c r="E317" s="18" t="n">
        <v>0.754861111111111</v>
      </c>
      <c r="F317" s="17" t="n">
        <v>4228</v>
      </c>
      <c r="G317" s="17" t="s">
        <v>99</v>
      </c>
      <c r="H317" s="17" t="s">
        <v>100</v>
      </c>
      <c r="I317" s="17" t="s">
        <v>101</v>
      </c>
      <c r="J317" s="17" t="s">
        <v>102</v>
      </c>
      <c r="K317" s="17" t="n">
        <v>45</v>
      </c>
      <c r="L317" s="17" t="s">
        <v>103</v>
      </c>
      <c r="M317" s="17" t="s">
        <v>32</v>
      </c>
      <c r="N317" s="19" t="n">
        <v>6.97</v>
      </c>
      <c r="O317" s="19" t="n">
        <v>313.65</v>
      </c>
      <c r="P317" s="17" t="s">
        <v>43</v>
      </c>
      <c r="Q317" s="20" t="n">
        <f aca="false">DATE(D317,C317,B317)</f>
        <v>44369</v>
      </c>
      <c r="R317" s="17" t="str">
        <f aca="false">IF(HOUR(E317)&lt;6,"Madrugada (0-5 h)",IF(HOUR(E317)&lt;12,"Mañana (6-11 h)",IF(HOUR(E317)&lt;18,"Tarde (12-17 h)","Noche (18-23 h)")))</f>
        <v>Noche (18-23 h)</v>
      </c>
    </row>
    <row r="318" customFormat="false" ht="15" hidden="false" customHeight="false" outlineLevel="0" collapsed="false">
      <c r="A318" s="17" t="n">
        <v>1317</v>
      </c>
      <c r="B318" s="17" t="n">
        <v>1</v>
      </c>
      <c r="C318" s="17" t="n">
        <v>7</v>
      </c>
      <c r="D318" s="17" t="n">
        <v>2021</v>
      </c>
      <c r="E318" s="18" t="n">
        <v>0.374571759259259</v>
      </c>
      <c r="F318" s="17" t="n">
        <v>2174</v>
      </c>
      <c r="G318" s="17" t="s">
        <v>104</v>
      </c>
      <c r="H318" s="17" t="s">
        <v>105</v>
      </c>
      <c r="I318" s="17" t="s">
        <v>106</v>
      </c>
      <c r="J318" s="17" t="s">
        <v>107</v>
      </c>
      <c r="K318" s="17" t="n">
        <v>32</v>
      </c>
      <c r="L318" s="17" t="s">
        <v>31</v>
      </c>
      <c r="M318" s="17" t="s">
        <v>32</v>
      </c>
      <c r="N318" s="19" t="n">
        <v>4.45</v>
      </c>
      <c r="O318" s="19" t="n">
        <v>142.4</v>
      </c>
      <c r="P318" s="17" t="s">
        <v>33</v>
      </c>
      <c r="Q318" s="20" t="n">
        <f aca="false">DATE(D318,C318,B318)</f>
        <v>44378</v>
      </c>
      <c r="R318" s="17" t="str">
        <f aca="false">IF(HOUR(E318)&lt;6,"Madrugada (0-5 h)",IF(HOUR(E318)&lt;12,"Mañana (6-11 h)",IF(HOUR(E318)&lt;18,"Tarde (12-17 h)","Noche (18-23 h)")))</f>
        <v>Mañana (6-11 h)</v>
      </c>
    </row>
    <row r="319" customFormat="false" ht="15" hidden="false" customHeight="false" outlineLevel="0" collapsed="false">
      <c r="A319" s="17" t="n">
        <v>1318</v>
      </c>
      <c r="B319" s="17" t="n">
        <v>18</v>
      </c>
      <c r="C319" s="17" t="n">
        <v>11</v>
      </c>
      <c r="D319" s="17" t="n">
        <v>2021</v>
      </c>
      <c r="E319" s="18" t="n">
        <v>0.32474537037037</v>
      </c>
      <c r="F319" s="17" t="n">
        <v>2043</v>
      </c>
      <c r="G319" s="17" t="s">
        <v>108</v>
      </c>
      <c r="H319" s="17" t="s">
        <v>109</v>
      </c>
      <c r="I319" s="17" t="s">
        <v>110</v>
      </c>
      <c r="J319" s="17" t="s">
        <v>111</v>
      </c>
      <c r="K319" s="17" t="n">
        <v>9</v>
      </c>
      <c r="L319" s="17" t="s">
        <v>81</v>
      </c>
      <c r="M319" s="17" t="s">
        <v>82</v>
      </c>
      <c r="N319" s="19" t="n">
        <v>6.5</v>
      </c>
      <c r="O319" s="19" t="n">
        <v>58.5</v>
      </c>
      <c r="P319" s="17" t="s">
        <v>43</v>
      </c>
      <c r="Q319" s="20" t="n">
        <f aca="false">DATE(D319,C319,B319)</f>
        <v>44518</v>
      </c>
      <c r="R319" s="17" t="str">
        <f aca="false">IF(HOUR(E319)&lt;6,"Madrugada (0-5 h)",IF(HOUR(E319)&lt;12,"Mañana (6-11 h)",IF(HOUR(E319)&lt;18,"Tarde (12-17 h)","Noche (18-23 h)")))</f>
        <v>Mañana (6-11 h)</v>
      </c>
    </row>
    <row r="320" customFormat="false" ht="15" hidden="false" customHeight="false" outlineLevel="0" collapsed="false">
      <c r="A320" s="17" t="n">
        <v>1319</v>
      </c>
      <c r="B320" s="17" t="n">
        <v>12</v>
      </c>
      <c r="C320" s="17" t="n">
        <v>7</v>
      </c>
      <c r="D320" s="17" t="n">
        <v>2021</v>
      </c>
      <c r="E320" s="18" t="n">
        <v>0.988321759259259</v>
      </c>
      <c r="F320" s="17" t="n">
        <v>1616</v>
      </c>
      <c r="G320" s="17" t="s">
        <v>112</v>
      </c>
      <c r="H320" s="17" t="s">
        <v>113</v>
      </c>
      <c r="I320" s="17" t="s">
        <v>114</v>
      </c>
      <c r="J320" s="17" t="s">
        <v>115</v>
      </c>
      <c r="K320" s="17" t="n">
        <v>33</v>
      </c>
      <c r="L320" s="17" t="s">
        <v>81</v>
      </c>
      <c r="M320" s="17" t="s">
        <v>116</v>
      </c>
      <c r="N320" s="19" t="n">
        <v>4.86</v>
      </c>
      <c r="O320" s="19" t="n">
        <v>160.38</v>
      </c>
      <c r="P320" s="17" t="s">
        <v>33</v>
      </c>
      <c r="Q320" s="20" t="n">
        <f aca="false">DATE(D320,C320,B320)</f>
        <v>44389</v>
      </c>
      <c r="R320" s="17" t="str">
        <f aca="false">IF(HOUR(E320)&lt;6,"Madrugada (0-5 h)",IF(HOUR(E320)&lt;12,"Mañana (6-11 h)",IF(HOUR(E320)&lt;18,"Tarde (12-17 h)","Noche (18-23 h)")))</f>
        <v>Noche (18-23 h)</v>
      </c>
    </row>
    <row r="321" customFormat="false" ht="15" hidden="false" customHeight="false" outlineLevel="0" collapsed="false">
      <c r="A321" s="17" t="n">
        <v>1320</v>
      </c>
      <c r="B321" s="17" t="n">
        <v>20</v>
      </c>
      <c r="C321" s="17" t="n">
        <v>3</v>
      </c>
      <c r="D321" s="17" t="n">
        <v>2021</v>
      </c>
      <c r="E321" s="18" t="n">
        <v>0.21849537037037</v>
      </c>
      <c r="F321" s="17" t="n">
        <v>2993</v>
      </c>
      <c r="G321" s="17" t="s">
        <v>117</v>
      </c>
      <c r="H321" s="17" t="s">
        <v>118</v>
      </c>
      <c r="I321" s="17" t="s">
        <v>119</v>
      </c>
      <c r="J321" s="17" t="s">
        <v>115</v>
      </c>
      <c r="K321" s="17" t="n">
        <v>38</v>
      </c>
      <c r="L321" s="17" t="s">
        <v>81</v>
      </c>
      <c r="M321" s="17" t="s">
        <v>120</v>
      </c>
      <c r="N321" s="19" t="n">
        <v>3.54</v>
      </c>
      <c r="O321" s="19" t="n">
        <v>134.52</v>
      </c>
      <c r="P321" s="17" t="s">
        <v>33</v>
      </c>
      <c r="Q321" s="20" t="n">
        <f aca="false">DATE(D321,C321,B321)</f>
        <v>44275</v>
      </c>
      <c r="R321" s="17" t="str">
        <f aca="false">IF(HOUR(E321)&lt;6,"Madrugada (0-5 h)",IF(HOUR(E321)&lt;12,"Mañana (6-11 h)",IF(HOUR(E321)&lt;18,"Tarde (12-17 h)","Noche (18-23 h)")))</f>
        <v>Madrugada (0-5 h)</v>
      </c>
    </row>
    <row r="322" customFormat="false" ht="15" hidden="false" customHeight="false" outlineLevel="0" collapsed="false">
      <c r="A322" s="17" t="n">
        <v>1321</v>
      </c>
      <c r="B322" s="17" t="n">
        <v>20</v>
      </c>
      <c r="C322" s="17" t="n">
        <v>2</v>
      </c>
      <c r="D322" s="17" t="n">
        <v>2022</v>
      </c>
      <c r="E322" s="18" t="n">
        <v>0.729525462962963</v>
      </c>
      <c r="F322" s="17" t="n">
        <v>1424</v>
      </c>
      <c r="G322" s="17" t="s">
        <v>121</v>
      </c>
      <c r="H322" s="17" t="s">
        <v>122</v>
      </c>
      <c r="I322" s="17" t="s">
        <v>123</v>
      </c>
      <c r="J322" s="17" t="s">
        <v>124</v>
      </c>
      <c r="K322" s="17" t="n">
        <v>6</v>
      </c>
      <c r="L322" s="17" t="s">
        <v>125</v>
      </c>
      <c r="M322" s="17" t="s">
        <v>76</v>
      </c>
      <c r="N322" s="19" t="n">
        <v>7</v>
      </c>
      <c r="O322" s="19" t="n">
        <v>42</v>
      </c>
      <c r="P322" s="17" t="s">
        <v>33</v>
      </c>
      <c r="Q322" s="20" t="n">
        <f aca="false">DATE(D322,C322,B322)</f>
        <v>44612</v>
      </c>
      <c r="R322" s="17" t="str">
        <f aca="false">IF(HOUR(E322)&lt;6,"Madrugada (0-5 h)",IF(HOUR(E322)&lt;12,"Mañana (6-11 h)",IF(HOUR(E322)&lt;18,"Tarde (12-17 h)","Noche (18-23 h)")))</f>
        <v>Tarde (12-17 h)</v>
      </c>
    </row>
    <row r="323" customFormat="false" ht="15" hidden="false" customHeight="false" outlineLevel="0" collapsed="false">
      <c r="A323" s="17" t="n">
        <v>1322</v>
      </c>
      <c r="B323" s="17" t="n">
        <v>12</v>
      </c>
      <c r="C323" s="17" t="n">
        <v>11</v>
      </c>
      <c r="D323" s="17" t="n">
        <v>2021</v>
      </c>
      <c r="E323" s="18" t="n">
        <v>0.198125</v>
      </c>
      <c r="F323" s="17" t="n">
        <v>1263</v>
      </c>
      <c r="G323" s="17" t="s">
        <v>126</v>
      </c>
      <c r="H323" s="17" t="s">
        <v>127</v>
      </c>
      <c r="I323" s="17" t="s">
        <v>128</v>
      </c>
      <c r="J323" s="17" t="s">
        <v>129</v>
      </c>
      <c r="K323" s="17" t="n">
        <v>35</v>
      </c>
      <c r="L323" s="17" t="s">
        <v>98</v>
      </c>
      <c r="M323" s="17" t="s">
        <v>62</v>
      </c>
      <c r="N323" s="19" t="n">
        <v>3.05</v>
      </c>
      <c r="O323" s="19" t="n">
        <v>106.75</v>
      </c>
      <c r="P323" s="17" t="s">
        <v>33</v>
      </c>
      <c r="Q323" s="20" t="n">
        <f aca="false">DATE(D323,C323,B323)</f>
        <v>44512</v>
      </c>
      <c r="R323" s="17" t="str">
        <f aca="false">IF(HOUR(E323)&lt;6,"Madrugada (0-5 h)",IF(HOUR(E323)&lt;12,"Mañana (6-11 h)",IF(HOUR(E323)&lt;18,"Tarde (12-17 h)","Noche (18-23 h)")))</f>
        <v>Madrugada (0-5 h)</v>
      </c>
    </row>
    <row r="324" customFormat="false" ht="15" hidden="false" customHeight="false" outlineLevel="0" collapsed="false">
      <c r="A324" s="17" t="n">
        <v>1323</v>
      </c>
      <c r="B324" s="17" t="n">
        <v>27</v>
      </c>
      <c r="C324" s="17" t="n">
        <v>12</v>
      </c>
      <c r="D324" s="17" t="n">
        <v>2022</v>
      </c>
      <c r="E324" s="18" t="n">
        <v>0.00460648148148148</v>
      </c>
      <c r="F324" s="17" t="n">
        <v>1670</v>
      </c>
      <c r="G324" s="17" t="s">
        <v>130</v>
      </c>
      <c r="H324" s="17" t="s">
        <v>131</v>
      </c>
      <c r="I324" s="17" t="s">
        <v>132</v>
      </c>
      <c r="J324" s="17" t="s">
        <v>129</v>
      </c>
      <c r="K324" s="17" t="n">
        <v>6</v>
      </c>
      <c r="L324" s="17" t="s">
        <v>98</v>
      </c>
      <c r="M324" s="17" t="s">
        <v>62</v>
      </c>
      <c r="N324" s="19" t="n">
        <v>4.57</v>
      </c>
      <c r="O324" s="19" t="n">
        <v>27.42</v>
      </c>
      <c r="P324" s="17" t="s">
        <v>33</v>
      </c>
      <c r="Q324" s="20" t="n">
        <f aca="false">DATE(D324,C324,B324)</f>
        <v>44922</v>
      </c>
      <c r="R324" s="17" t="str">
        <f aca="false">IF(HOUR(E324)&lt;6,"Madrugada (0-5 h)",IF(HOUR(E324)&lt;12,"Mañana (6-11 h)",IF(HOUR(E324)&lt;18,"Tarde (12-17 h)","Noche (18-23 h)")))</f>
        <v>Madrugada (0-5 h)</v>
      </c>
    </row>
    <row r="325" customFormat="false" ht="15" hidden="false" customHeight="false" outlineLevel="0" collapsed="false">
      <c r="A325" s="17" t="n">
        <v>1324</v>
      </c>
      <c r="B325" s="17" t="n">
        <v>24</v>
      </c>
      <c r="C325" s="17" t="n">
        <v>10</v>
      </c>
      <c r="D325" s="17" t="n">
        <v>2021</v>
      </c>
      <c r="E325" s="18" t="n">
        <v>0.632743055555556</v>
      </c>
      <c r="F325" s="17" t="n">
        <v>2789</v>
      </c>
      <c r="G325" s="17" t="s">
        <v>133</v>
      </c>
      <c r="H325" s="17" t="s">
        <v>134</v>
      </c>
      <c r="I325" s="17" t="s">
        <v>135</v>
      </c>
      <c r="J325" s="17" t="s">
        <v>136</v>
      </c>
      <c r="K325" s="17" t="n">
        <v>42</v>
      </c>
      <c r="L325" s="17" t="s">
        <v>81</v>
      </c>
      <c r="M325" s="17" t="s">
        <v>76</v>
      </c>
      <c r="N325" s="19" t="n">
        <v>9.89</v>
      </c>
      <c r="O325" s="19" t="n">
        <v>415.38</v>
      </c>
      <c r="P325" s="17" t="s">
        <v>33</v>
      </c>
      <c r="Q325" s="20" t="n">
        <f aca="false">DATE(D325,C325,B325)</f>
        <v>44493</v>
      </c>
      <c r="R325" s="17" t="str">
        <f aca="false">IF(HOUR(E325)&lt;6,"Madrugada (0-5 h)",IF(HOUR(E325)&lt;12,"Mañana (6-11 h)",IF(HOUR(E325)&lt;18,"Tarde (12-17 h)","Noche (18-23 h)")))</f>
        <v>Tarde (12-17 h)</v>
      </c>
    </row>
    <row r="326" customFormat="false" ht="15" hidden="false" customHeight="false" outlineLevel="0" collapsed="false">
      <c r="A326" s="17" t="n">
        <v>1325</v>
      </c>
      <c r="B326" s="17" t="n">
        <v>9</v>
      </c>
      <c r="C326" s="17" t="n">
        <v>4</v>
      </c>
      <c r="D326" s="17" t="n">
        <v>2021</v>
      </c>
      <c r="E326" s="18" t="n">
        <v>0.00650462962962963</v>
      </c>
      <c r="F326" s="17" t="n">
        <v>3500</v>
      </c>
      <c r="G326" s="17" t="s">
        <v>137</v>
      </c>
      <c r="H326" s="21" t="s">
        <v>431</v>
      </c>
      <c r="I326" s="17" t="s">
        <v>139</v>
      </c>
      <c r="J326" s="17" t="s">
        <v>140</v>
      </c>
      <c r="K326" s="17" t="n">
        <v>31</v>
      </c>
      <c r="L326" s="17" t="s">
        <v>31</v>
      </c>
      <c r="M326" s="17" t="s">
        <v>32</v>
      </c>
      <c r="N326" s="19" t="n">
        <v>3.44</v>
      </c>
      <c r="O326" s="19" t="n">
        <v>106.64</v>
      </c>
      <c r="P326" s="17" t="s">
        <v>43</v>
      </c>
      <c r="Q326" s="20" t="n">
        <f aca="false">DATE(D326,C326,B326)</f>
        <v>44295</v>
      </c>
      <c r="R326" s="17" t="str">
        <f aca="false">IF(HOUR(E326)&lt;6,"Madrugada (0-5 h)",IF(HOUR(E326)&lt;12,"Mañana (6-11 h)",IF(HOUR(E326)&lt;18,"Tarde (12-17 h)","Noche (18-23 h)")))</f>
        <v>Madrugada (0-5 h)</v>
      </c>
    </row>
    <row r="327" customFormat="false" ht="15" hidden="false" customHeight="false" outlineLevel="0" collapsed="false">
      <c r="A327" s="17" t="n">
        <v>1326</v>
      </c>
      <c r="B327" s="17" t="n">
        <v>6</v>
      </c>
      <c r="C327" s="17" t="n">
        <v>6</v>
      </c>
      <c r="D327" s="17" t="n">
        <v>2022</v>
      </c>
      <c r="E327" s="18" t="n">
        <v>0.844733796296296</v>
      </c>
      <c r="F327" s="17" t="n">
        <v>4307</v>
      </c>
      <c r="G327" s="17" t="s">
        <v>141</v>
      </c>
      <c r="H327" s="17" t="s">
        <v>142</v>
      </c>
      <c r="I327" s="17" t="s">
        <v>143</v>
      </c>
      <c r="J327" s="17" t="s">
        <v>144</v>
      </c>
      <c r="K327" s="17" t="n">
        <v>42</v>
      </c>
      <c r="L327" s="17" t="s">
        <v>42</v>
      </c>
      <c r="M327" s="17" t="s">
        <v>48</v>
      </c>
      <c r="N327" s="19" t="n">
        <v>8.88</v>
      </c>
      <c r="O327" s="19" t="n">
        <v>372.96</v>
      </c>
      <c r="P327" s="17" t="s">
        <v>33</v>
      </c>
      <c r="Q327" s="20" t="n">
        <f aca="false">DATE(D327,C327,B327)</f>
        <v>44718</v>
      </c>
      <c r="R327" s="17" t="str">
        <f aca="false">IF(HOUR(E327)&lt;6,"Madrugada (0-5 h)",IF(HOUR(E327)&lt;12,"Mañana (6-11 h)",IF(HOUR(E327)&lt;18,"Tarde (12-17 h)","Noche (18-23 h)")))</f>
        <v>Noche (18-23 h)</v>
      </c>
    </row>
    <row r="328" customFormat="false" ht="15" hidden="false" customHeight="false" outlineLevel="0" collapsed="false">
      <c r="A328" s="17" t="n">
        <v>1327</v>
      </c>
      <c r="B328" s="17" t="n">
        <v>19</v>
      </c>
      <c r="C328" s="17" t="n">
        <v>1</v>
      </c>
      <c r="D328" s="17" t="n">
        <v>2022</v>
      </c>
      <c r="E328" s="18" t="n">
        <v>0.568090277777778</v>
      </c>
      <c r="F328" s="17" t="n">
        <v>2979</v>
      </c>
      <c r="G328" s="17" t="s">
        <v>145</v>
      </c>
      <c r="H328" s="17" t="s">
        <v>146</v>
      </c>
      <c r="I328" s="17" t="s">
        <v>147</v>
      </c>
      <c r="J328" s="17" t="s">
        <v>148</v>
      </c>
      <c r="K328" s="17" t="n">
        <v>14</v>
      </c>
      <c r="L328" s="17" t="s">
        <v>42</v>
      </c>
      <c r="M328" s="17" t="s">
        <v>48</v>
      </c>
      <c r="N328" s="19" t="n">
        <v>15.87</v>
      </c>
      <c r="O328" s="19" t="n">
        <v>222.18</v>
      </c>
      <c r="P328" s="17" t="s">
        <v>33</v>
      </c>
      <c r="Q328" s="20" t="n">
        <f aca="false">DATE(D328,C328,B328)</f>
        <v>44580</v>
      </c>
      <c r="R328" s="17" t="str">
        <f aca="false">IF(HOUR(E328)&lt;6,"Madrugada (0-5 h)",IF(HOUR(E328)&lt;12,"Mañana (6-11 h)",IF(HOUR(E328)&lt;18,"Tarde (12-17 h)","Noche (18-23 h)")))</f>
        <v>Tarde (12-17 h)</v>
      </c>
    </row>
    <row r="329" customFormat="false" ht="15" hidden="false" customHeight="false" outlineLevel="0" collapsed="false">
      <c r="A329" s="17" t="n">
        <v>1328</v>
      </c>
      <c r="B329" s="17" t="n">
        <v>13</v>
      </c>
      <c r="C329" s="17" t="n">
        <v>1</v>
      </c>
      <c r="D329" s="17" t="n">
        <v>2022</v>
      </c>
      <c r="E329" s="18" t="n">
        <v>0.378391203703704</v>
      </c>
      <c r="F329" s="17" t="n">
        <v>2643</v>
      </c>
      <c r="G329" s="17" t="s">
        <v>149</v>
      </c>
      <c r="H329" s="17" t="s">
        <v>150</v>
      </c>
      <c r="I329" s="17" t="s">
        <v>151</v>
      </c>
      <c r="J329" s="17" t="s">
        <v>152</v>
      </c>
      <c r="K329" s="17" t="n">
        <v>32</v>
      </c>
      <c r="L329" s="17" t="s">
        <v>42</v>
      </c>
      <c r="M329" s="17" t="s">
        <v>32</v>
      </c>
      <c r="N329" s="19" t="n">
        <v>13.04</v>
      </c>
      <c r="O329" s="19" t="n">
        <v>417.28</v>
      </c>
      <c r="P329" s="17" t="s">
        <v>33</v>
      </c>
      <c r="Q329" s="20" t="n">
        <f aca="false">DATE(D329,C329,B329)</f>
        <v>44574</v>
      </c>
      <c r="R329" s="17" t="str">
        <f aca="false">IF(HOUR(E329)&lt;6,"Madrugada (0-5 h)",IF(HOUR(E329)&lt;12,"Mañana (6-11 h)",IF(HOUR(E329)&lt;18,"Tarde (12-17 h)","Noche (18-23 h)")))</f>
        <v>Mañana (6-11 h)</v>
      </c>
    </row>
    <row r="330" customFormat="false" ht="15" hidden="false" customHeight="false" outlineLevel="0" collapsed="false">
      <c r="A330" s="17" t="n">
        <v>1329</v>
      </c>
      <c r="B330" s="17" t="n">
        <v>11</v>
      </c>
      <c r="C330" s="17" t="n">
        <v>3</v>
      </c>
      <c r="D330" s="17" t="n">
        <v>2021</v>
      </c>
      <c r="E330" s="18" t="n">
        <v>0.017349537037037</v>
      </c>
      <c r="F330" s="17" t="n">
        <v>4781</v>
      </c>
      <c r="G330" s="17" t="s">
        <v>153</v>
      </c>
      <c r="H330" s="17" t="s">
        <v>154</v>
      </c>
      <c r="I330" s="17" t="s">
        <v>155</v>
      </c>
      <c r="J330" s="17" t="s">
        <v>155</v>
      </c>
      <c r="K330" s="17" t="n">
        <v>17</v>
      </c>
      <c r="L330" s="17" t="s">
        <v>42</v>
      </c>
      <c r="M330" s="17" t="s">
        <v>32</v>
      </c>
      <c r="N330" s="19" t="n">
        <v>9.31</v>
      </c>
      <c r="O330" s="19" t="n">
        <v>158.27</v>
      </c>
      <c r="P330" s="17" t="s">
        <v>43</v>
      </c>
      <c r="Q330" s="20" t="n">
        <f aca="false">DATE(D330,C330,B330)</f>
        <v>44266</v>
      </c>
      <c r="R330" s="17" t="str">
        <f aca="false">IF(HOUR(E330)&lt;6,"Madrugada (0-5 h)",IF(HOUR(E330)&lt;12,"Mañana (6-11 h)",IF(HOUR(E330)&lt;18,"Tarde (12-17 h)","Noche (18-23 h)")))</f>
        <v>Madrugada (0-5 h)</v>
      </c>
    </row>
    <row r="331" customFormat="false" ht="15" hidden="false" customHeight="false" outlineLevel="0" collapsed="false">
      <c r="A331" s="17" t="n">
        <v>1330</v>
      </c>
      <c r="B331" s="17" t="n">
        <v>24</v>
      </c>
      <c r="C331" s="17" t="n">
        <v>9</v>
      </c>
      <c r="D331" s="17" t="n">
        <v>2022</v>
      </c>
      <c r="E331" s="18" t="n">
        <v>0.671215277777778</v>
      </c>
      <c r="F331" s="17" t="n">
        <v>2114</v>
      </c>
      <c r="G331" s="17" t="s">
        <v>156</v>
      </c>
      <c r="H331" s="17" t="s">
        <v>157</v>
      </c>
      <c r="I331" s="17" t="s">
        <v>158</v>
      </c>
      <c r="J331" s="17" t="s">
        <v>159</v>
      </c>
      <c r="K331" s="17" t="n">
        <v>37</v>
      </c>
      <c r="L331" s="17" t="s">
        <v>125</v>
      </c>
      <c r="M331" s="17" t="s">
        <v>82</v>
      </c>
      <c r="N331" s="19" t="n">
        <v>8.51</v>
      </c>
      <c r="O331" s="19" t="n">
        <v>314.87</v>
      </c>
      <c r="P331" s="17" t="s">
        <v>33</v>
      </c>
      <c r="Q331" s="20" t="n">
        <f aca="false">DATE(D331,C331,B331)</f>
        <v>44828</v>
      </c>
      <c r="R331" s="17" t="str">
        <f aca="false">IF(HOUR(E331)&lt;6,"Madrugada (0-5 h)",IF(HOUR(E331)&lt;12,"Mañana (6-11 h)",IF(HOUR(E331)&lt;18,"Tarde (12-17 h)","Noche (18-23 h)")))</f>
        <v>Tarde (12-17 h)</v>
      </c>
    </row>
    <row r="332" customFormat="false" ht="15" hidden="false" customHeight="false" outlineLevel="0" collapsed="false">
      <c r="A332" s="17" t="n">
        <v>1331</v>
      </c>
      <c r="B332" s="17" t="n">
        <v>17</v>
      </c>
      <c r="C332" s="17" t="n">
        <v>3</v>
      </c>
      <c r="D332" s="17" t="n">
        <v>2022</v>
      </c>
      <c r="E332" s="18" t="n">
        <v>0.9453125</v>
      </c>
      <c r="F332" s="17" t="n">
        <v>1996</v>
      </c>
      <c r="G332" s="17" t="s">
        <v>160</v>
      </c>
      <c r="H332" s="17" t="s">
        <v>161</v>
      </c>
      <c r="I332" s="17" t="s">
        <v>162</v>
      </c>
      <c r="J332" s="17" t="s">
        <v>163</v>
      </c>
      <c r="K332" s="17" t="n">
        <v>28</v>
      </c>
      <c r="L332" s="17" t="s">
        <v>42</v>
      </c>
      <c r="M332" s="17" t="s">
        <v>76</v>
      </c>
      <c r="N332" s="19" t="n">
        <v>15.63</v>
      </c>
      <c r="O332" s="19" t="n">
        <v>437.64</v>
      </c>
      <c r="P332" s="17" t="s">
        <v>33</v>
      </c>
      <c r="Q332" s="20" t="n">
        <f aca="false">DATE(D332,C332,B332)</f>
        <v>44637</v>
      </c>
      <c r="R332" s="17" t="str">
        <f aca="false">IF(HOUR(E332)&lt;6,"Madrugada (0-5 h)",IF(HOUR(E332)&lt;12,"Mañana (6-11 h)",IF(HOUR(E332)&lt;18,"Tarde (12-17 h)","Noche (18-23 h)")))</f>
        <v>Noche (18-23 h)</v>
      </c>
    </row>
    <row r="333" customFormat="false" ht="15" hidden="false" customHeight="false" outlineLevel="0" collapsed="false">
      <c r="A333" s="17" t="n">
        <v>1332</v>
      </c>
      <c r="B333" s="17" t="n">
        <v>11</v>
      </c>
      <c r="C333" s="17" t="n">
        <v>1</v>
      </c>
      <c r="D333" s="17" t="n">
        <v>2021</v>
      </c>
      <c r="E333" s="18" t="n">
        <v>0.245439814814815</v>
      </c>
      <c r="F333" s="17" t="n">
        <v>1962</v>
      </c>
      <c r="G333" s="17" t="s">
        <v>164</v>
      </c>
      <c r="H333" s="17" t="s">
        <v>165</v>
      </c>
      <c r="I333" s="17" t="s">
        <v>166</v>
      </c>
      <c r="J333" s="17" t="s">
        <v>167</v>
      </c>
      <c r="K333" s="17" t="n">
        <v>29</v>
      </c>
      <c r="L333" s="17" t="s">
        <v>81</v>
      </c>
      <c r="M333" s="17" t="s">
        <v>82</v>
      </c>
      <c r="N333" s="19" t="n">
        <v>6.99</v>
      </c>
      <c r="O333" s="19" t="n">
        <v>202.71</v>
      </c>
      <c r="P333" s="17" t="s">
        <v>33</v>
      </c>
      <c r="Q333" s="20" t="n">
        <f aca="false">DATE(D333,C333,B333)</f>
        <v>44207</v>
      </c>
      <c r="R333" s="17" t="str">
        <f aca="false">IF(HOUR(E333)&lt;6,"Madrugada (0-5 h)",IF(HOUR(E333)&lt;12,"Mañana (6-11 h)",IF(HOUR(E333)&lt;18,"Tarde (12-17 h)","Noche (18-23 h)")))</f>
        <v>Madrugada (0-5 h)</v>
      </c>
    </row>
    <row r="334" customFormat="false" ht="15" hidden="false" customHeight="false" outlineLevel="0" collapsed="false">
      <c r="A334" s="17" t="n">
        <v>1333</v>
      </c>
      <c r="B334" s="17" t="n">
        <v>8</v>
      </c>
      <c r="C334" s="17" t="n">
        <v>5</v>
      </c>
      <c r="D334" s="17" t="n">
        <v>2021</v>
      </c>
      <c r="E334" s="18" t="n">
        <v>0.622337962962963</v>
      </c>
      <c r="F334" s="17" t="n">
        <v>2248</v>
      </c>
      <c r="G334" s="17" t="s">
        <v>168</v>
      </c>
      <c r="H334" s="17" t="s">
        <v>169</v>
      </c>
      <c r="I334" s="17" t="s">
        <v>170</v>
      </c>
      <c r="J334" s="17" t="s">
        <v>171</v>
      </c>
      <c r="K334" s="17" t="n">
        <v>25</v>
      </c>
      <c r="L334" s="17" t="s">
        <v>31</v>
      </c>
      <c r="M334" s="17" t="s">
        <v>76</v>
      </c>
      <c r="N334" s="19" t="n">
        <v>6.84</v>
      </c>
      <c r="O334" s="19" t="n">
        <v>171</v>
      </c>
      <c r="P334" s="17" t="s">
        <v>33</v>
      </c>
      <c r="Q334" s="20" t="n">
        <f aca="false">DATE(D334,C334,B334)</f>
        <v>44324</v>
      </c>
      <c r="R334" s="17" t="str">
        <f aca="false">IF(HOUR(E334)&lt;6,"Madrugada (0-5 h)",IF(HOUR(E334)&lt;12,"Mañana (6-11 h)",IF(HOUR(E334)&lt;18,"Tarde (12-17 h)","Noche (18-23 h)")))</f>
        <v>Tarde (12-17 h)</v>
      </c>
    </row>
    <row r="335" customFormat="false" ht="15" hidden="false" customHeight="false" outlineLevel="0" collapsed="false">
      <c r="A335" s="17" t="n">
        <v>1334</v>
      </c>
      <c r="B335" s="17" t="n">
        <v>3</v>
      </c>
      <c r="C335" s="17" t="n">
        <v>6</v>
      </c>
      <c r="D335" s="17" t="n">
        <v>2022</v>
      </c>
      <c r="E335" s="18" t="n">
        <v>0.412025462962963</v>
      </c>
      <c r="F335" s="17" t="n">
        <v>3622</v>
      </c>
      <c r="G335" s="17" t="s">
        <v>172</v>
      </c>
      <c r="H335" s="17" t="s">
        <v>173</v>
      </c>
      <c r="I335" s="17" t="s">
        <v>174</v>
      </c>
      <c r="J335" s="17" t="s">
        <v>175</v>
      </c>
      <c r="K335" s="17" t="n">
        <v>37</v>
      </c>
      <c r="L335" s="17" t="s">
        <v>31</v>
      </c>
      <c r="M335" s="17" t="s">
        <v>76</v>
      </c>
      <c r="N335" s="19" t="n">
        <v>5.5</v>
      </c>
      <c r="O335" s="19" t="n">
        <v>203.5</v>
      </c>
      <c r="P335" s="17" t="s">
        <v>33</v>
      </c>
      <c r="Q335" s="20" t="n">
        <f aca="false">DATE(D335,C335,B335)</f>
        <v>44715</v>
      </c>
      <c r="R335" s="17" t="str">
        <f aca="false">IF(HOUR(E335)&lt;6,"Madrugada (0-5 h)",IF(HOUR(E335)&lt;12,"Mañana (6-11 h)",IF(HOUR(E335)&lt;18,"Tarde (12-17 h)","Noche (18-23 h)")))</f>
        <v>Mañana (6-11 h)</v>
      </c>
    </row>
    <row r="336" customFormat="false" ht="15" hidden="false" customHeight="false" outlineLevel="0" collapsed="false">
      <c r="A336" s="17" t="n">
        <v>1335</v>
      </c>
      <c r="B336" s="17" t="n">
        <v>24</v>
      </c>
      <c r="C336" s="17" t="n">
        <v>10</v>
      </c>
      <c r="D336" s="17" t="n">
        <v>2021</v>
      </c>
      <c r="E336" s="18" t="n">
        <v>0.958321759259259</v>
      </c>
      <c r="F336" s="17" t="n">
        <v>3471</v>
      </c>
      <c r="G336" s="17" t="s">
        <v>176</v>
      </c>
      <c r="H336" s="17" t="s">
        <v>177</v>
      </c>
      <c r="I336" s="17" t="s">
        <v>178</v>
      </c>
      <c r="J336" s="17" t="s">
        <v>179</v>
      </c>
      <c r="K336" s="17" t="n">
        <v>1</v>
      </c>
      <c r="L336" s="17" t="s">
        <v>31</v>
      </c>
      <c r="M336" s="17" t="s">
        <v>76</v>
      </c>
      <c r="N336" s="19" t="n">
        <v>9.56</v>
      </c>
      <c r="O336" s="19" t="n">
        <v>9.56</v>
      </c>
      <c r="P336" s="17" t="s">
        <v>33</v>
      </c>
      <c r="Q336" s="20" t="n">
        <f aca="false">DATE(D336,C336,B336)</f>
        <v>44493</v>
      </c>
      <c r="R336" s="17" t="str">
        <f aca="false">IF(HOUR(E336)&lt;6,"Madrugada (0-5 h)",IF(HOUR(E336)&lt;12,"Mañana (6-11 h)",IF(HOUR(E336)&lt;18,"Tarde (12-17 h)","Noche (18-23 h)")))</f>
        <v>Noche (18-23 h)</v>
      </c>
    </row>
    <row r="337" customFormat="false" ht="15" hidden="false" customHeight="false" outlineLevel="0" collapsed="false">
      <c r="A337" s="17" t="n">
        <v>1336</v>
      </c>
      <c r="B337" s="17" t="n">
        <v>2</v>
      </c>
      <c r="C337" s="17" t="n">
        <v>9</v>
      </c>
      <c r="D337" s="17" t="n">
        <v>2021</v>
      </c>
      <c r="E337" s="18" t="n">
        <v>0.708935185185185</v>
      </c>
      <c r="F337" s="17" t="n">
        <v>2997</v>
      </c>
      <c r="G337" s="17" t="s">
        <v>180</v>
      </c>
      <c r="H337" s="17" t="s">
        <v>181</v>
      </c>
      <c r="I337" s="17" t="s">
        <v>182</v>
      </c>
      <c r="J337" s="17" t="s">
        <v>183</v>
      </c>
      <c r="K337" s="17" t="n">
        <v>41</v>
      </c>
      <c r="L337" s="17" t="s">
        <v>31</v>
      </c>
      <c r="M337" s="17" t="s">
        <v>32</v>
      </c>
      <c r="N337" s="19" t="n">
        <v>3.43</v>
      </c>
      <c r="O337" s="19" t="n">
        <v>140.63</v>
      </c>
      <c r="P337" s="17" t="s">
        <v>33</v>
      </c>
      <c r="Q337" s="20" t="n">
        <f aca="false">DATE(D337,C337,B337)</f>
        <v>44441</v>
      </c>
      <c r="R337" s="17" t="str">
        <f aca="false">IF(HOUR(E337)&lt;6,"Madrugada (0-5 h)",IF(HOUR(E337)&lt;12,"Mañana (6-11 h)",IF(HOUR(E337)&lt;18,"Tarde (12-17 h)","Noche (18-23 h)")))</f>
        <v>Tarde (12-17 h)</v>
      </c>
    </row>
    <row r="338" customFormat="false" ht="15" hidden="false" customHeight="false" outlineLevel="0" collapsed="false">
      <c r="A338" s="17" t="n">
        <v>1337</v>
      </c>
      <c r="B338" s="17" t="n">
        <v>2</v>
      </c>
      <c r="C338" s="17" t="n">
        <v>5</v>
      </c>
      <c r="D338" s="17" t="n">
        <v>2022</v>
      </c>
      <c r="E338" s="18" t="n">
        <v>0.941689814814815</v>
      </c>
      <c r="F338" s="17" t="n">
        <v>1351</v>
      </c>
      <c r="G338" s="17" t="s">
        <v>184</v>
      </c>
      <c r="H338" s="17" t="s">
        <v>185</v>
      </c>
      <c r="I338" s="17" t="s">
        <v>186</v>
      </c>
      <c r="J338" s="17" t="s">
        <v>187</v>
      </c>
      <c r="K338" s="17" t="n">
        <v>5</v>
      </c>
      <c r="L338" s="17" t="s">
        <v>81</v>
      </c>
      <c r="M338" s="17" t="s">
        <v>82</v>
      </c>
      <c r="N338" s="19" t="n">
        <v>1.23</v>
      </c>
      <c r="O338" s="19" t="n">
        <v>6.15</v>
      </c>
      <c r="P338" s="17" t="s">
        <v>33</v>
      </c>
      <c r="Q338" s="20" t="n">
        <f aca="false">DATE(D338,C338,B338)</f>
        <v>44683</v>
      </c>
      <c r="R338" s="17" t="str">
        <f aca="false">IF(HOUR(E338)&lt;6,"Madrugada (0-5 h)",IF(HOUR(E338)&lt;12,"Mañana (6-11 h)",IF(HOUR(E338)&lt;18,"Tarde (12-17 h)","Noche (18-23 h)")))</f>
        <v>Noche (18-23 h)</v>
      </c>
    </row>
    <row r="339" customFormat="false" ht="15" hidden="false" customHeight="false" outlineLevel="0" collapsed="false">
      <c r="A339" s="17" t="n">
        <v>1338</v>
      </c>
      <c r="B339" s="17" t="n">
        <v>25</v>
      </c>
      <c r="C339" s="17" t="n">
        <v>12</v>
      </c>
      <c r="D339" s="17" t="n">
        <v>2022</v>
      </c>
      <c r="E339" s="18" t="n">
        <v>0.411666666666667</v>
      </c>
      <c r="F339" s="17" t="n">
        <v>4031</v>
      </c>
      <c r="G339" s="17" t="s">
        <v>188</v>
      </c>
      <c r="H339" s="17" t="s">
        <v>189</v>
      </c>
      <c r="I339" s="17" t="s">
        <v>190</v>
      </c>
      <c r="J339" s="17" t="s">
        <v>191</v>
      </c>
      <c r="K339" s="17" t="n">
        <v>49</v>
      </c>
      <c r="L339" s="17" t="s">
        <v>125</v>
      </c>
      <c r="M339" s="17" t="s">
        <v>76</v>
      </c>
      <c r="N339" s="19" t="n">
        <v>13.55</v>
      </c>
      <c r="O339" s="19" t="n">
        <v>663.95</v>
      </c>
      <c r="P339" s="17" t="s">
        <v>33</v>
      </c>
      <c r="Q339" s="20" t="n">
        <f aca="false">DATE(D339,C339,B339)</f>
        <v>44920</v>
      </c>
      <c r="R339" s="17" t="str">
        <f aca="false">IF(HOUR(E339)&lt;6,"Madrugada (0-5 h)",IF(HOUR(E339)&lt;12,"Mañana (6-11 h)",IF(HOUR(E339)&lt;18,"Tarde (12-17 h)","Noche (18-23 h)")))</f>
        <v>Mañana (6-11 h)</v>
      </c>
    </row>
    <row r="340" customFormat="false" ht="15" hidden="false" customHeight="false" outlineLevel="0" collapsed="false">
      <c r="A340" s="17" t="n">
        <v>1339</v>
      </c>
      <c r="B340" s="17" t="n">
        <v>23</v>
      </c>
      <c r="C340" s="17" t="n">
        <v>11</v>
      </c>
      <c r="D340" s="17" t="n">
        <v>2021</v>
      </c>
      <c r="E340" s="18" t="n">
        <v>0.79318287037037</v>
      </c>
      <c r="F340" s="17" t="n">
        <v>2638</v>
      </c>
      <c r="G340" s="17" t="s">
        <v>192</v>
      </c>
      <c r="H340" s="17" t="s">
        <v>193</v>
      </c>
      <c r="I340" s="17" t="s">
        <v>194</v>
      </c>
      <c r="J340" s="17" t="s">
        <v>195</v>
      </c>
      <c r="K340" s="17" t="n">
        <v>28</v>
      </c>
      <c r="L340" s="17" t="s">
        <v>31</v>
      </c>
      <c r="M340" s="17" t="s">
        <v>82</v>
      </c>
      <c r="N340" s="19" t="n">
        <v>6.78</v>
      </c>
      <c r="O340" s="19" t="n">
        <v>189.84</v>
      </c>
      <c r="P340" s="17" t="s">
        <v>33</v>
      </c>
      <c r="Q340" s="20" t="n">
        <f aca="false">DATE(D340,C340,B340)</f>
        <v>44523</v>
      </c>
      <c r="R340" s="17" t="str">
        <f aca="false">IF(HOUR(E340)&lt;6,"Madrugada (0-5 h)",IF(HOUR(E340)&lt;12,"Mañana (6-11 h)",IF(HOUR(E340)&lt;18,"Tarde (12-17 h)","Noche (18-23 h)")))</f>
        <v>Noche (18-23 h)</v>
      </c>
    </row>
    <row r="341" customFormat="false" ht="15" hidden="false" customHeight="false" outlineLevel="0" collapsed="false">
      <c r="A341" s="17" t="n">
        <v>1340</v>
      </c>
      <c r="B341" s="17" t="n">
        <v>13</v>
      </c>
      <c r="C341" s="17" t="n">
        <v>7</v>
      </c>
      <c r="D341" s="17" t="n">
        <v>2021</v>
      </c>
      <c r="E341" s="18" t="n">
        <v>0.0906944444444444</v>
      </c>
      <c r="F341" s="17" t="n">
        <v>1070</v>
      </c>
      <c r="G341" s="17" t="s">
        <v>196</v>
      </c>
      <c r="H341" s="17" t="s">
        <v>197</v>
      </c>
      <c r="I341" s="17" t="s">
        <v>198</v>
      </c>
      <c r="J341" s="17" t="s">
        <v>199</v>
      </c>
      <c r="K341" s="17" t="n">
        <v>39</v>
      </c>
      <c r="L341" s="17" t="s">
        <v>31</v>
      </c>
      <c r="M341" s="17" t="s">
        <v>32</v>
      </c>
      <c r="N341" s="19" t="n">
        <v>8.02</v>
      </c>
      <c r="O341" s="19" t="n">
        <v>312.78</v>
      </c>
      <c r="P341" s="17" t="s">
        <v>33</v>
      </c>
      <c r="Q341" s="20" t="n">
        <f aca="false">DATE(D341,C341,B341)</f>
        <v>44390</v>
      </c>
      <c r="R341" s="17" t="str">
        <f aca="false">IF(HOUR(E341)&lt;6,"Madrugada (0-5 h)",IF(HOUR(E341)&lt;12,"Mañana (6-11 h)",IF(HOUR(E341)&lt;18,"Tarde (12-17 h)","Noche (18-23 h)")))</f>
        <v>Madrugada (0-5 h)</v>
      </c>
    </row>
    <row r="342" customFormat="false" ht="15" hidden="false" customHeight="false" outlineLevel="0" collapsed="false">
      <c r="A342" s="17" t="n">
        <v>1341</v>
      </c>
      <c r="B342" s="17" t="n">
        <v>6</v>
      </c>
      <c r="C342" s="17" t="n">
        <v>1</v>
      </c>
      <c r="D342" s="17" t="n">
        <v>2022</v>
      </c>
      <c r="E342" s="18" t="n">
        <v>0.377199074074074</v>
      </c>
      <c r="F342" s="17" t="n">
        <v>2286</v>
      </c>
      <c r="G342" s="17" t="s">
        <v>200</v>
      </c>
      <c r="H342" s="17" t="s">
        <v>201</v>
      </c>
      <c r="I342" s="17" t="s">
        <v>113</v>
      </c>
      <c r="J342" s="17" t="s">
        <v>202</v>
      </c>
      <c r="K342" s="17" t="n">
        <v>11</v>
      </c>
      <c r="L342" s="17" t="s">
        <v>31</v>
      </c>
      <c r="M342" s="17" t="s">
        <v>32</v>
      </c>
      <c r="N342" s="19" t="n">
        <v>7.76</v>
      </c>
      <c r="O342" s="19" t="n">
        <v>85.36</v>
      </c>
      <c r="P342" s="17" t="s">
        <v>33</v>
      </c>
      <c r="Q342" s="20" t="n">
        <f aca="false">DATE(D342,C342,B342)</f>
        <v>44567</v>
      </c>
      <c r="R342" s="17" t="str">
        <f aca="false">IF(HOUR(E342)&lt;6,"Madrugada (0-5 h)",IF(HOUR(E342)&lt;12,"Mañana (6-11 h)",IF(HOUR(E342)&lt;18,"Tarde (12-17 h)","Noche (18-23 h)")))</f>
        <v>Mañana (6-11 h)</v>
      </c>
    </row>
    <row r="343" customFormat="false" ht="15" hidden="false" customHeight="false" outlineLevel="0" collapsed="false">
      <c r="A343" s="17" t="n">
        <v>1342</v>
      </c>
      <c r="B343" s="17" t="n">
        <v>1</v>
      </c>
      <c r="C343" s="17" t="n">
        <v>1</v>
      </c>
      <c r="D343" s="17" t="n">
        <v>2021</v>
      </c>
      <c r="E343" s="18" t="n">
        <v>0.541921296296296</v>
      </c>
      <c r="F343" s="17" t="n">
        <v>2825</v>
      </c>
      <c r="G343" s="17" t="s">
        <v>203</v>
      </c>
      <c r="H343" s="17" t="s">
        <v>432</v>
      </c>
      <c r="I343" s="17" t="s">
        <v>205</v>
      </c>
      <c r="J343" s="17" t="s">
        <v>206</v>
      </c>
      <c r="K343" s="17" t="n">
        <v>26</v>
      </c>
      <c r="L343" s="17" t="s">
        <v>42</v>
      </c>
      <c r="M343" s="17" t="s">
        <v>32</v>
      </c>
      <c r="N343" s="19" t="n">
        <v>8.87</v>
      </c>
      <c r="O343" s="19" t="n">
        <v>230.62</v>
      </c>
      <c r="P343" s="17" t="s">
        <v>33</v>
      </c>
      <c r="Q343" s="20" t="n">
        <f aca="false">DATE(D343,C343,B343)</f>
        <v>44197</v>
      </c>
      <c r="R343" s="17" t="str">
        <f aca="false">IF(HOUR(E343)&lt;6,"Madrugada (0-5 h)",IF(HOUR(E343)&lt;12,"Mañana (6-11 h)",IF(HOUR(E343)&lt;18,"Tarde (12-17 h)","Noche (18-23 h)")))</f>
        <v>Tarde (12-17 h)</v>
      </c>
    </row>
    <row r="344" customFormat="false" ht="15" hidden="false" customHeight="false" outlineLevel="0" collapsed="false">
      <c r="A344" s="17" t="n">
        <v>1343</v>
      </c>
      <c r="B344" s="17" t="n">
        <v>6</v>
      </c>
      <c r="C344" s="17" t="n">
        <v>6</v>
      </c>
      <c r="D344" s="17" t="n">
        <v>2022</v>
      </c>
      <c r="E344" s="18" t="n">
        <v>0.035162037037037</v>
      </c>
      <c r="F344" s="17" t="n">
        <v>3542</v>
      </c>
      <c r="G344" s="17" t="s">
        <v>207</v>
      </c>
      <c r="H344" s="17" t="s">
        <v>208</v>
      </c>
      <c r="I344" s="17" t="s">
        <v>209</v>
      </c>
      <c r="J344" s="17" t="s">
        <v>210</v>
      </c>
      <c r="K344" s="17" t="n">
        <v>10</v>
      </c>
      <c r="L344" s="17" t="s">
        <v>31</v>
      </c>
      <c r="M344" s="17" t="s">
        <v>32</v>
      </c>
      <c r="N344" s="19" t="n">
        <v>4.5</v>
      </c>
      <c r="O344" s="19" t="n">
        <v>45</v>
      </c>
      <c r="P344" s="17" t="s">
        <v>33</v>
      </c>
      <c r="Q344" s="20" t="n">
        <f aca="false">DATE(D344,C344,B344)</f>
        <v>44718</v>
      </c>
      <c r="R344" s="17" t="str">
        <f aca="false">IF(HOUR(E344)&lt;6,"Madrugada (0-5 h)",IF(HOUR(E344)&lt;12,"Mañana (6-11 h)",IF(HOUR(E344)&lt;18,"Tarde (12-17 h)","Noche (18-23 h)")))</f>
        <v>Madrugada (0-5 h)</v>
      </c>
    </row>
    <row r="345" customFormat="false" ht="15" hidden="false" customHeight="false" outlineLevel="0" collapsed="false">
      <c r="A345" s="17" t="n">
        <v>1344</v>
      </c>
      <c r="B345" s="17" t="n">
        <v>5</v>
      </c>
      <c r="C345" s="17" t="n">
        <v>7</v>
      </c>
      <c r="D345" s="17" t="n">
        <v>2022</v>
      </c>
      <c r="E345" s="18" t="n">
        <v>0.22662037037037</v>
      </c>
      <c r="F345" s="17" t="n">
        <v>1889</v>
      </c>
      <c r="G345" s="17" t="s">
        <v>211</v>
      </c>
      <c r="H345" s="17" t="s">
        <v>212</v>
      </c>
      <c r="I345" s="17" t="s">
        <v>213</v>
      </c>
      <c r="J345" s="17" t="s">
        <v>214</v>
      </c>
      <c r="K345" s="17" t="n">
        <v>30</v>
      </c>
      <c r="L345" s="17" t="s">
        <v>31</v>
      </c>
      <c r="M345" s="17" t="s">
        <v>32</v>
      </c>
      <c r="N345" s="19" t="n">
        <v>8.98</v>
      </c>
      <c r="O345" s="19" t="n">
        <v>269.4</v>
      </c>
      <c r="P345" s="17" t="s">
        <v>33</v>
      </c>
      <c r="Q345" s="20" t="n">
        <f aca="false">DATE(D345,C345,B345)</f>
        <v>44747</v>
      </c>
      <c r="R345" s="17" t="str">
        <f aca="false">IF(HOUR(E345)&lt;6,"Madrugada (0-5 h)",IF(HOUR(E345)&lt;12,"Mañana (6-11 h)",IF(HOUR(E345)&lt;18,"Tarde (12-17 h)","Noche (18-23 h)")))</f>
        <v>Madrugada (0-5 h)</v>
      </c>
    </row>
    <row r="346" customFormat="false" ht="15" hidden="false" customHeight="false" outlineLevel="0" collapsed="false">
      <c r="A346" s="17" t="n">
        <v>1345</v>
      </c>
      <c r="B346" s="17" t="n">
        <v>1</v>
      </c>
      <c r="C346" s="17" t="n">
        <v>4</v>
      </c>
      <c r="D346" s="17" t="n">
        <v>2021</v>
      </c>
      <c r="E346" s="18" t="n">
        <v>0.778553240740741</v>
      </c>
      <c r="F346" s="17" t="n">
        <v>4140</v>
      </c>
      <c r="G346" s="17" t="s">
        <v>215</v>
      </c>
      <c r="H346" s="17" t="s">
        <v>197</v>
      </c>
      <c r="I346" s="17" t="s">
        <v>198</v>
      </c>
      <c r="J346" s="17" t="s">
        <v>199</v>
      </c>
      <c r="K346" s="17" t="n">
        <v>39</v>
      </c>
      <c r="L346" s="17" t="s">
        <v>31</v>
      </c>
      <c r="M346" s="17" t="s">
        <v>32</v>
      </c>
      <c r="N346" s="19" t="n">
        <v>5.87</v>
      </c>
      <c r="O346" s="19" t="n">
        <v>228.93</v>
      </c>
      <c r="P346" s="17" t="s">
        <v>33</v>
      </c>
      <c r="Q346" s="20" t="n">
        <f aca="false">DATE(D346,C346,B346)</f>
        <v>44287</v>
      </c>
      <c r="R346" s="17" t="str">
        <f aca="false">IF(HOUR(E346)&lt;6,"Madrugada (0-5 h)",IF(HOUR(E346)&lt;12,"Mañana (6-11 h)",IF(HOUR(E346)&lt;18,"Tarde (12-17 h)","Noche (18-23 h)")))</f>
        <v>Noche (18-23 h)</v>
      </c>
    </row>
    <row r="347" customFormat="false" ht="15" hidden="false" customHeight="false" outlineLevel="0" collapsed="false">
      <c r="A347" s="17" t="n">
        <v>1346</v>
      </c>
      <c r="B347" s="17" t="n">
        <v>6</v>
      </c>
      <c r="C347" s="17" t="n">
        <v>2</v>
      </c>
      <c r="D347" s="17" t="n">
        <v>2022</v>
      </c>
      <c r="E347" s="18" t="n">
        <v>0.584340277777778</v>
      </c>
      <c r="F347" s="17" t="n">
        <v>3415</v>
      </c>
      <c r="G347" s="17" t="s">
        <v>216</v>
      </c>
      <c r="H347" s="17" t="s">
        <v>217</v>
      </c>
      <c r="I347" s="17" t="s">
        <v>218</v>
      </c>
      <c r="J347" s="17" t="s">
        <v>219</v>
      </c>
      <c r="K347" s="17" t="n">
        <v>38</v>
      </c>
      <c r="L347" s="17" t="s">
        <v>98</v>
      </c>
      <c r="M347" s="17" t="s">
        <v>62</v>
      </c>
      <c r="N347" s="19" t="n">
        <v>2.31</v>
      </c>
      <c r="O347" s="19" t="n">
        <v>87.78</v>
      </c>
      <c r="P347" s="17" t="s">
        <v>33</v>
      </c>
      <c r="Q347" s="20" t="n">
        <f aca="false">DATE(D347,C347,B347)</f>
        <v>44598</v>
      </c>
      <c r="R347" s="17" t="str">
        <f aca="false">IF(HOUR(E347)&lt;6,"Madrugada (0-5 h)",IF(HOUR(E347)&lt;12,"Mañana (6-11 h)",IF(HOUR(E347)&lt;18,"Tarde (12-17 h)","Noche (18-23 h)")))</f>
        <v>Tarde (12-17 h)</v>
      </c>
    </row>
    <row r="348" customFormat="false" ht="15" hidden="false" customHeight="false" outlineLevel="0" collapsed="false">
      <c r="A348" s="17" t="n">
        <v>1347</v>
      </c>
      <c r="B348" s="17" t="n">
        <v>6</v>
      </c>
      <c r="C348" s="17" t="n">
        <v>9</v>
      </c>
      <c r="D348" s="17" t="n">
        <v>2021</v>
      </c>
      <c r="E348" s="18" t="n">
        <v>0.731111111111111</v>
      </c>
      <c r="F348" s="17" t="n">
        <v>4674</v>
      </c>
      <c r="G348" s="17" t="s">
        <v>220</v>
      </c>
      <c r="H348" s="17" t="s">
        <v>221</v>
      </c>
      <c r="I348" s="17" t="s">
        <v>222</v>
      </c>
      <c r="J348" s="17" t="s">
        <v>223</v>
      </c>
      <c r="K348" s="17" t="n">
        <v>8</v>
      </c>
      <c r="L348" s="17" t="s">
        <v>31</v>
      </c>
      <c r="M348" s="17" t="s">
        <v>32</v>
      </c>
      <c r="N348" s="19" t="n">
        <v>6.53</v>
      </c>
      <c r="O348" s="19" t="n">
        <v>52.24</v>
      </c>
      <c r="P348" s="17" t="s">
        <v>33</v>
      </c>
      <c r="Q348" s="20" t="n">
        <f aca="false">DATE(D348,C348,B348)</f>
        <v>44445</v>
      </c>
      <c r="R348" s="17" t="str">
        <f aca="false">IF(HOUR(E348)&lt;6,"Madrugada (0-5 h)",IF(HOUR(E348)&lt;12,"Mañana (6-11 h)",IF(HOUR(E348)&lt;18,"Tarde (12-17 h)","Noche (18-23 h)")))</f>
        <v>Tarde (12-17 h)</v>
      </c>
    </row>
    <row r="349" customFormat="false" ht="15" hidden="false" customHeight="false" outlineLevel="0" collapsed="false">
      <c r="A349" s="17" t="n">
        <v>1348</v>
      </c>
      <c r="B349" s="17" t="n">
        <v>28</v>
      </c>
      <c r="C349" s="17" t="n">
        <v>8</v>
      </c>
      <c r="D349" s="17" t="n">
        <v>2021</v>
      </c>
      <c r="E349" s="18" t="n">
        <v>0.0442013888888889</v>
      </c>
      <c r="F349" s="17" t="n">
        <v>2025</v>
      </c>
      <c r="G349" s="17" t="s">
        <v>224</v>
      </c>
      <c r="H349" s="17" t="s">
        <v>225</v>
      </c>
      <c r="I349" s="17" t="s">
        <v>222</v>
      </c>
      <c r="J349" s="17" t="s">
        <v>223</v>
      </c>
      <c r="K349" s="17" t="n">
        <v>1</v>
      </c>
      <c r="L349" s="17" t="s">
        <v>31</v>
      </c>
      <c r="M349" s="17" t="s">
        <v>32</v>
      </c>
      <c r="N349" s="19" t="n">
        <v>2.45</v>
      </c>
      <c r="O349" s="19" t="n">
        <v>2.45</v>
      </c>
      <c r="P349" s="17" t="s">
        <v>33</v>
      </c>
      <c r="Q349" s="20" t="n">
        <f aca="false">DATE(D349,C349,B349)</f>
        <v>44436</v>
      </c>
      <c r="R349" s="17" t="str">
        <f aca="false">IF(HOUR(E349)&lt;6,"Madrugada (0-5 h)",IF(HOUR(E349)&lt;12,"Mañana (6-11 h)",IF(HOUR(E349)&lt;18,"Tarde (12-17 h)","Noche (18-23 h)")))</f>
        <v>Madrugada (0-5 h)</v>
      </c>
    </row>
    <row r="350" customFormat="false" ht="15" hidden="false" customHeight="false" outlineLevel="0" collapsed="false">
      <c r="A350" s="17" t="n">
        <v>1349</v>
      </c>
      <c r="B350" s="17" t="n">
        <v>10</v>
      </c>
      <c r="C350" s="17" t="n">
        <v>12</v>
      </c>
      <c r="D350" s="17" t="n">
        <v>2022</v>
      </c>
      <c r="E350" s="18" t="n">
        <v>0.765393518518519</v>
      </c>
      <c r="F350" s="17" t="n">
        <v>4920</v>
      </c>
      <c r="G350" s="17" t="s">
        <v>226</v>
      </c>
      <c r="H350" s="17" t="s">
        <v>227</v>
      </c>
      <c r="I350" s="17" t="s">
        <v>228</v>
      </c>
      <c r="J350" s="17" t="s">
        <v>229</v>
      </c>
      <c r="K350" s="17" t="n">
        <v>41</v>
      </c>
      <c r="L350" s="17" t="s">
        <v>125</v>
      </c>
      <c r="M350" s="17" t="s">
        <v>76</v>
      </c>
      <c r="N350" s="19" t="n">
        <v>3.03</v>
      </c>
      <c r="O350" s="19" t="n">
        <v>124.23</v>
      </c>
      <c r="P350" s="17" t="s">
        <v>33</v>
      </c>
      <c r="Q350" s="20" t="n">
        <f aca="false">DATE(D350,C350,B350)</f>
        <v>44905</v>
      </c>
      <c r="R350" s="17" t="str">
        <f aca="false">IF(HOUR(E350)&lt;6,"Madrugada (0-5 h)",IF(HOUR(E350)&lt;12,"Mañana (6-11 h)",IF(HOUR(E350)&lt;18,"Tarde (12-17 h)","Noche (18-23 h)")))</f>
        <v>Noche (18-23 h)</v>
      </c>
    </row>
    <row r="351" customFormat="false" ht="15" hidden="false" customHeight="false" outlineLevel="0" collapsed="false">
      <c r="A351" s="17" t="n">
        <v>1350</v>
      </c>
      <c r="B351" s="17" t="n">
        <v>15</v>
      </c>
      <c r="C351" s="17" t="n">
        <v>7</v>
      </c>
      <c r="D351" s="17" t="n">
        <v>2022</v>
      </c>
      <c r="E351" s="18" t="n">
        <v>0.993229166666667</v>
      </c>
      <c r="F351" s="17" t="n">
        <v>2026</v>
      </c>
      <c r="G351" s="17" t="s">
        <v>230</v>
      </c>
      <c r="H351" s="17" t="s">
        <v>231</v>
      </c>
      <c r="I351" s="17" t="s">
        <v>232</v>
      </c>
      <c r="J351" s="17" t="s">
        <v>233</v>
      </c>
      <c r="K351" s="17" t="n">
        <v>12</v>
      </c>
      <c r="L351" s="17" t="s">
        <v>81</v>
      </c>
      <c r="M351" s="17" t="s">
        <v>76</v>
      </c>
      <c r="N351" s="19" t="n">
        <v>5.42</v>
      </c>
      <c r="O351" s="19" t="n">
        <v>65.04</v>
      </c>
      <c r="P351" s="17" t="s">
        <v>33</v>
      </c>
      <c r="Q351" s="20" t="n">
        <f aca="false">DATE(D351,C351,B351)</f>
        <v>44757</v>
      </c>
      <c r="R351" s="17" t="str">
        <f aca="false">IF(HOUR(E351)&lt;6,"Madrugada (0-5 h)",IF(HOUR(E351)&lt;12,"Mañana (6-11 h)",IF(HOUR(E351)&lt;18,"Tarde (12-17 h)","Noche (18-23 h)")))</f>
        <v>Noche (18-23 h)</v>
      </c>
    </row>
    <row r="352" customFormat="false" ht="15" hidden="false" customHeight="false" outlineLevel="0" collapsed="false">
      <c r="A352" s="17" t="n">
        <v>1351</v>
      </c>
      <c r="B352" s="17" t="n">
        <v>28</v>
      </c>
      <c r="C352" s="17" t="n">
        <v>3</v>
      </c>
      <c r="D352" s="17" t="n">
        <v>2022</v>
      </c>
      <c r="E352" s="18" t="n">
        <v>0.500775462962963</v>
      </c>
      <c r="F352" s="17" t="n">
        <v>2017</v>
      </c>
      <c r="G352" s="17" t="s">
        <v>234</v>
      </c>
      <c r="H352" s="17" t="s">
        <v>235</v>
      </c>
      <c r="I352" s="17" t="s">
        <v>236</v>
      </c>
      <c r="J352" s="17" t="s">
        <v>237</v>
      </c>
      <c r="K352" s="17" t="n">
        <v>47</v>
      </c>
      <c r="L352" s="17" t="s">
        <v>81</v>
      </c>
      <c r="M352" s="17" t="s">
        <v>82</v>
      </c>
      <c r="N352" s="19" t="n">
        <v>25.45</v>
      </c>
      <c r="O352" s="19" t="n">
        <v>1196.15</v>
      </c>
      <c r="P352" s="17" t="s">
        <v>33</v>
      </c>
      <c r="Q352" s="20" t="n">
        <f aca="false">DATE(D352,C352,B352)</f>
        <v>44648</v>
      </c>
      <c r="R352" s="17" t="str">
        <f aca="false">IF(HOUR(E352)&lt;6,"Madrugada (0-5 h)",IF(HOUR(E352)&lt;12,"Mañana (6-11 h)",IF(HOUR(E352)&lt;18,"Tarde (12-17 h)","Noche (18-23 h)")))</f>
        <v>Tarde (12-17 h)</v>
      </c>
    </row>
    <row r="353" customFormat="false" ht="15" hidden="false" customHeight="false" outlineLevel="0" collapsed="false">
      <c r="A353" s="17" t="n">
        <v>1352</v>
      </c>
      <c r="B353" s="17" t="n">
        <v>15</v>
      </c>
      <c r="C353" s="17" t="n">
        <v>9</v>
      </c>
      <c r="D353" s="17" t="n">
        <v>2022</v>
      </c>
      <c r="E353" s="18" t="n">
        <v>0.814328703703704</v>
      </c>
      <c r="F353" s="17" t="n">
        <v>3502</v>
      </c>
      <c r="G353" s="17" t="s">
        <v>238</v>
      </c>
      <c r="H353" s="17" t="s">
        <v>239</v>
      </c>
      <c r="I353" s="17" t="s">
        <v>240</v>
      </c>
      <c r="J353" s="17" t="s">
        <v>241</v>
      </c>
      <c r="K353" s="17" t="n">
        <v>41</v>
      </c>
      <c r="L353" s="17" t="s">
        <v>81</v>
      </c>
      <c r="M353" s="17" t="s">
        <v>82</v>
      </c>
      <c r="N353" s="19" t="n">
        <v>18.05</v>
      </c>
      <c r="O353" s="19" t="n">
        <v>740.05</v>
      </c>
      <c r="P353" s="17" t="s">
        <v>33</v>
      </c>
      <c r="Q353" s="20" t="n">
        <f aca="false">DATE(D353,C353,B353)</f>
        <v>44819</v>
      </c>
      <c r="R353" s="17" t="str">
        <f aca="false">IF(HOUR(E353)&lt;6,"Madrugada (0-5 h)",IF(HOUR(E353)&lt;12,"Mañana (6-11 h)",IF(HOUR(E353)&lt;18,"Tarde (12-17 h)","Noche (18-23 h)")))</f>
        <v>Noche (18-23 h)</v>
      </c>
    </row>
    <row r="354" customFormat="false" ht="15" hidden="false" customHeight="false" outlineLevel="0" collapsed="false">
      <c r="A354" s="17" t="n">
        <v>1353</v>
      </c>
      <c r="B354" s="17" t="n">
        <v>21</v>
      </c>
      <c r="C354" s="17" t="n">
        <v>6</v>
      </c>
      <c r="D354" s="17" t="n">
        <v>2022</v>
      </c>
      <c r="E354" s="18" t="n">
        <v>0.762928240740741</v>
      </c>
      <c r="F354" s="17" t="n">
        <v>3617</v>
      </c>
      <c r="G354" s="17" t="s">
        <v>242</v>
      </c>
      <c r="H354" s="17" t="s">
        <v>243</v>
      </c>
      <c r="I354" s="17" t="s">
        <v>244</v>
      </c>
      <c r="J354" s="17" t="s">
        <v>245</v>
      </c>
      <c r="K354" s="17" t="n">
        <v>28</v>
      </c>
      <c r="L354" s="17" t="s">
        <v>81</v>
      </c>
      <c r="M354" s="17" t="s">
        <v>76</v>
      </c>
      <c r="N354" s="19" t="n">
        <v>5.38</v>
      </c>
      <c r="O354" s="19" t="n">
        <v>150.64</v>
      </c>
      <c r="P354" s="17" t="s">
        <v>33</v>
      </c>
      <c r="Q354" s="20" t="n">
        <f aca="false">DATE(D354,C354,B354)</f>
        <v>44733</v>
      </c>
      <c r="R354" s="17" t="str">
        <f aca="false">IF(HOUR(E354)&lt;6,"Madrugada (0-5 h)",IF(HOUR(E354)&lt;12,"Mañana (6-11 h)",IF(HOUR(E354)&lt;18,"Tarde (12-17 h)","Noche (18-23 h)")))</f>
        <v>Noche (18-23 h)</v>
      </c>
    </row>
    <row r="355" customFormat="false" ht="15" hidden="false" customHeight="false" outlineLevel="0" collapsed="false">
      <c r="A355" s="17" t="n">
        <v>1354</v>
      </c>
      <c r="B355" s="17" t="n">
        <v>2</v>
      </c>
      <c r="C355" s="17" t="n">
        <v>1</v>
      </c>
      <c r="D355" s="17" t="n">
        <v>2021</v>
      </c>
      <c r="E355" s="18" t="n">
        <v>0.363599537037037</v>
      </c>
      <c r="F355" s="17" t="n">
        <v>4847</v>
      </c>
      <c r="G355" s="17" t="s">
        <v>246</v>
      </c>
      <c r="H355" s="17" t="s">
        <v>433</v>
      </c>
      <c r="I355" s="17" t="s">
        <v>244</v>
      </c>
      <c r="J355" s="17" t="s">
        <v>248</v>
      </c>
      <c r="K355" s="17" t="n">
        <v>11</v>
      </c>
      <c r="L355" s="17" t="s">
        <v>81</v>
      </c>
      <c r="M355" s="17" t="s">
        <v>76</v>
      </c>
      <c r="N355" s="19" t="n">
        <v>9.89</v>
      </c>
      <c r="O355" s="19" t="n">
        <v>108.79</v>
      </c>
      <c r="P355" s="17" t="s">
        <v>33</v>
      </c>
      <c r="Q355" s="20" t="n">
        <f aca="false">DATE(D355,C355,B355)</f>
        <v>44198</v>
      </c>
      <c r="R355" s="17" t="str">
        <f aca="false">IF(HOUR(E355)&lt;6,"Madrugada (0-5 h)",IF(HOUR(E355)&lt;12,"Mañana (6-11 h)",IF(HOUR(E355)&lt;18,"Tarde (12-17 h)","Noche (18-23 h)")))</f>
        <v>Mañana (6-11 h)</v>
      </c>
    </row>
    <row r="356" customFormat="false" ht="15" hidden="false" customHeight="false" outlineLevel="0" collapsed="false">
      <c r="A356" s="17" t="n">
        <v>1355</v>
      </c>
      <c r="B356" s="17" t="n">
        <v>5</v>
      </c>
      <c r="C356" s="17" t="n">
        <v>7</v>
      </c>
      <c r="D356" s="17" t="n">
        <v>2022</v>
      </c>
      <c r="E356" s="18" t="n">
        <v>0.676967592592593</v>
      </c>
      <c r="F356" s="17" t="n">
        <v>2303</v>
      </c>
      <c r="G356" s="17" t="s">
        <v>249</v>
      </c>
      <c r="H356" s="17" t="s">
        <v>250</v>
      </c>
      <c r="I356" s="17" t="s">
        <v>251</v>
      </c>
      <c r="J356" s="17" t="s">
        <v>252</v>
      </c>
      <c r="K356" s="17" t="n">
        <v>8</v>
      </c>
      <c r="L356" s="17" t="s">
        <v>125</v>
      </c>
      <c r="M356" s="17" t="s">
        <v>82</v>
      </c>
      <c r="N356" s="19" t="n">
        <v>25.45</v>
      </c>
      <c r="O356" s="19" t="n">
        <v>203.6</v>
      </c>
      <c r="P356" s="17" t="s">
        <v>33</v>
      </c>
      <c r="Q356" s="20" t="n">
        <f aca="false">DATE(D356,C356,B356)</f>
        <v>44747</v>
      </c>
      <c r="R356" s="17" t="str">
        <f aca="false">IF(HOUR(E356)&lt;6,"Madrugada (0-5 h)",IF(HOUR(E356)&lt;12,"Mañana (6-11 h)",IF(HOUR(E356)&lt;18,"Tarde (12-17 h)","Noche (18-23 h)")))</f>
        <v>Tarde (12-17 h)</v>
      </c>
    </row>
    <row r="357" customFormat="false" ht="15" hidden="false" customHeight="false" outlineLevel="0" collapsed="false">
      <c r="A357" s="17" t="n">
        <v>1356</v>
      </c>
      <c r="B357" s="17" t="n">
        <v>16</v>
      </c>
      <c r="C357" s="17" t="n">
        <v>8</v>
      </c>
      <c r="D357" s="17" t="n">
        <v>2022</v>
      </c>
      <c r="E357" s="18" t="n">
        <v>0.476793981481482</v>
      </c>
      <c r="F357" s="17" t="n">
        <v>1793</v>
      </c>
      <c r="G357" s="17" t="s">
        <v>253</v>
      </c>
      <c r="H357" s="17" t="s">
        <v>250</v>
      </c>
      <c r="I357" s="17" t="s">
        <v>254</v>
      </c>
      <c r="J357" s="17" t="s">
        <v>255</v>
      </c>
      <c r="K357" s="17" t="n">
        <v>32</v>
      </c>
      <c r="L357" s="17" t="s">
        <v>125</v>
      </c>
      <c r="M357" s="17" t="s">
        <v>82</v>
      </c>
      <c r="N357" s="19" t="n">
        <v>16.34</v>
      </c>
      <c r="O357" s="19" t="n">
        <v>522.88</v>
      </c>
      <c r="P357" s="17" t="s">
        <v>33</v>
      </c>
      <c r="Q357" s="20" t="n">
        <f aca="false">DATE(D357,C357,B357)</f>
        <v>44789</v>
      </c>
      <c r="R357" s="17" t="str">
        <f aca="false">IF(HOUR(E357)&lt;6,"Madrugada (0-5 h)",IF(HOUR(E357)&lt;12,"Mañana (6-11 h)",IF(HOUR(E357)&lt;18,"Tarde (12-17 h)","Noche (18-23 h)")))</f>
        <v>Mañana (6-11 h)</v>
      </c>
    </row>
    <row r="358" customFormat="false" ht="15" hidden="false" customHeight="false" outlineLevel="0" collapsed="false">
      <c r="A358" s="17" t="n">
        <v>1357</v>
      </c>
      <c r="B358" s="17" t="n">
        <v>21</v>
      </c>
      <c r="C358" s="17" t="n">
        <v>10</v>
      </c>
      <c r="D358" s="17" t="n">
        <v>2021</v>
      </c>
      <c r="E358" s="18" t="n">
        <v>0.0343981481481482</v>
      </c>
      <c r="F358" s="17" t="n">
        <v>1414</v>
      </c>
      <c r="G358" s="17" t="s">
        <v>256</v>
      </c>
      <c r="H358" s="17" t="s">
        <v>257</v>
      </c>
      <c r="I358" s="17" t="s">
        <v>258</v>
      </c>
      <c r="J358" s="17" t="s">
        <v>259</v>
      </c>
      <c r="K358" s="17" t="n">
        <v>27</v>
      </c>
      <c r="L358" s="17" t="s">
        <v>125</v>
      </c>
      <c r="M358" s="17" t="s">
        <v>82</v>
      </c>
      <c r="N358" s="19" t="n">
        <v>13.32</v>
      </c>
      <c r="O358" s="19" t="n">
        <v>359.64</v>
      </c>
      <c r="P358" s="17" t="s">
        <v>33</v>
      </c>
      <c r="Q358" s="20" t="n">
        <f aca="false">DATE(D358,C358,B358)</f>
        <v>44490</v>
      </c>
      <c r="R358" s="17" t="str">
        <f aca="false">IF(HOUR(E358)&lt;6,"Madrugada (0-5 h)",IF(HOUR(E358)&lt;12,"Mañana (6-11 h)",IF(HOUR(E358)&lt;18,"Tarde (12-17 h)","Noche (18-23 h)")))</f>
        <v>Madrugada (0-5 h)</v>
      </c>
    </row>
    <row r="359" customFormat="false" ht="15" hidden="false" customHeight="false" outlineLevel="0" collapsed="false">
      <c r="A359" s="17" t="n">
        <v>1358</v>
      </c>
      <c r="B359" s="17" t="n">
        <v>22</v>
      </c>
      <c r="C359" s="17" t="n">
        <v>6</v>
      </c>
      <c r="D359" s="17" t="n">
        <v>2021</v>
      </c>
      <c r="E359" s="18" t="n">
        <v>0.259756944444445</v>
      </c>
      <c r="F359" s="17" t="n">
        <v>3066</v>
      </c>
      <c r="G359" s="17" t="s">
        <v>260</v>
      </c>
      <c r="H359" s="17" t="s">
        <v>261</v>
      </c>
      <c r="I359" s="17" t="s">
        <v>262</v>
      </c>
      <c r="J359" s="17" t="s">
        <v>263</v>
      </c>
      <c r="K359" s="17" t="n">
        <v>38</v>
      </c>
      <c r="L359" s="17" t="s">
        <v>125</v>
      </c>
      <c r="M359" s="17" t="s">
        <v>82</v>
      </c>
      <c r="N359" s="19" t="n">
        <v>10.1</v>
      </c>
      <c r="O359" s="19" t="n">
        <v>383.8</v>
      </c>
      <c r="P359" s="17" t="s">
        <v>33</v>
      </c>
      <c r="Q359" s="20" t="n">
        <f aca="false">DATE(D359,C359,B359)</f>
        <v>44369</v>
      </c>
      <c r="R359" s="17" t="str">
        <f aca="false">IF(HOUR(E359)&lt;6,"Madrugada (0-5 h)",IF(HOUR(E359)&lt;12,"Mañana (6-11 h)",IF(HOUR(E359)&lt;18,"Tarde (12-17 h)","Noche (18-23 h)")))</f>
        <v>Mañana (6-11 h)</v>
      </c>
    </row>
    <row r="360" customFormat="false" ht="15" hidden="false" customHeight="false" outlineLevel="0" collapsed="false">
      <c r="A360" s="17" t="n">
        <v>1359</v>
      </c>
      <c r="B360" s="17" t="n">
        <v>16</v>
      </c>
      <c r="C360" s="17" t="n">
        <v>5</v>
      </c>
      <c r="D360" s="17" t="n">
        <v>2022</v>
      </c>
      <c r="E360" s="18" t="n">
        <v>0.861527777777778</v>
      </c>
      <c r="F360" s="17" t="n">
        <v>4109</v>
      </c>
      <c r="G360" s="17" t="s">
        <v>264</v>
      </c>
      <c r="H360" s="17" t="s">
        <v>434</v>
      </c>
      <c r="I360" s="17" t="s">
        <v>266</v>
      </c>
      <c r="J360" s="17" t="s">
        <v>129</v>
      </c>
      <c r="K360" s="17" t="n">
        <v>22</v>
      </c>
      <c r="L360" s="17" t="s">
        <v>61</v>
      </c>
      <c r="M360" s="17" t="s">
        <v>32</v>
      </c>
      <c r="N360" s="19" t="n">
        <v>4.56</v>
      </c>
      <c r="O360" s="19" t="n">
        <v>100.32</v>
      </c>
      <c r="P360" s="17" t="s">
        <v>33</v>
      </c>
      <c r="Q360" s="20" t="n">
        <f aca="false">DATE(D360,C360,B360)</f>
        <v>44697</v>
      </c>
      <c r="R360" s="17" t="str">
        <f aca="false">IF(HOUR(E360)&lt;6,"Madrugada (0-5 h)",IF(HOUR(E360)&lt;12,"Mañana (6-11 h)",IF(HOUR(E360)&lt;18,"Tarde (12-17 h)","Noche (18-23 h)")))</f>
        <v>Noche (18-23 h)</v>
      </c>
    </row>
    <row r="361" customFormat="false" ht="15" hidden="false" customHeight="false" outlineLevel="0" collapsed="false">
      <c r="A361" s="17" t="n">
        <v>1360</v>
      </c>
      <c r="B361" s="17" t="n">
        <v>14</v>
      </c>
      <c r="C361" s="17" t="n">
        <v>3</v>
      </c>
      <c r="D361" s="17" t="n">
        <v>2021</v>
      </c>
      <c r="E361" s="18" t="n">
        <v>0.476875</v>
      </c>
      <c r="F361" s="17" t="n">
        <v>4128</v>
      </c>
      <c r="G361" s="17" t="s">
        <v>267</v>
      </c>
      <c r="H361" s="17" t="s">
        <v>267</v>
      </c>
      <c r="I361" s="17" t="s">
        <v>93</v>
      </c>
      <c r="J361" s="17" t="s">
        <v>268</v>
      </c>
      <c r="K361" s="17" t="n">
        <v>3</v>
      </c>
      <c r="L361" s="17" t="s">
        <v>61</v>
      </c>
      <c r="M361" s="17" t="s">
        <v>32</v>
      </c>
      <c r="N361" s="19" t="n">
        <v>5.56</v>
      </c>
      <c r="O361" s="19" t="n">
        <v>16.68</v>
      </c>
      <c r="P361" s="17" t="s">
        <v>33</v>
      </c>
      <c r="Q361" s="20" t="n">
        <f aca="false">DATE(D361,C361,B361)</f>
        <v>44269</v>
      </c>
      <c r="R361" s="17" t="str">
        <f aca="false">IF(HOUR(E361)&lt;6,"Madrugada (0-5 h)",IF(HOUR(E361)&lt;12,"Mañana (6-11 h)",IF(HOUR(E361)&lt;18,"Tarde (12-17 h)","Noche (18-23 h)")))</f>
        <v>Mañana (6-11 h)</v>
      </c>
    </row>
    <row r="362" customFormat="false" ht="15" hidden="false" customHeight="false" outlineLevel="0" collapsed="false">
      <c r="A362" s="17" t="n">
        <v>1361</v>
      </c>
      <c r="B362" s="17" t="n">
        <v>1</v>
      </c>
      <c r="C362" s="17" t="n">
        <v>6</v>
      </c>
      <c r="D362" s="17" t="n">
        <v>2021</v>
      </c>
      <c r="E362" s="18" t="n">
        <v>0.750787037037037</v>
      </c>
      <c r="F362" s="17" t="n">
        <v>3850</v>
      </c>
      <c r="G362" s="17" t="s">
        <v>269</v>
      </c>
      <c r="H362" s="17" t="s">
        <v>270</v>
      </c>
      <c r="I362" s="17" t="s">
        <v>271</v>
      </c>
      <c r="J362" s="17" t="s">
        <v>272</v>
      </c>
      <c r="K362" s="17" t="n">
        <v>47</v>
      </c>
      <c r="L362" s="17" t="s">
        <v>61</v>
      </c>
      <c r="M362" s="17" t="s">
        <v>32</v>
      </c>
      <c r="N362" s="19" t="n">
        <v>3.43</v>
      </c>
      <c r="O362" s="19" t="n">
        <v>161.21</v>
      </c>
      <c r="P362" s="17" t="s">
        <v>33</v>
      </c>
      <c r="Q362" s="20" t="n">
        <f aca="false">DATE(D362,C362,B362)</f>
        <v>44348</v>
      </c>
      <c r="R362" s="17" t="str">
        <f aca="false">IF(HOUR(E362)&lt;6,"Madrugada (0-5 h)",IF(HOUR(E362)&lt;12,"Mañana (6-11 h)",IF(HOUR(E362)&lt;18,"Tarde (12-17 h)","Noche (18-23 h)")))</f>
        <v>Noche (18-23 h)</v>
      </c>
    </row>
    <row r="363" customFormat="false" ht="15" hidden="false" customHeight="false" outlineLevel="0" collapsed="false">
      <c r="A363" s="17" t="n">
        <v>1362</v>
      </c>
      <c r="B363" s="17" t="n">
        <v>23</v>
      </c>
      <c r="C363" s="17" t="n">
        <v>2</v>
      </c>
      <c r="D363" s="17" t="n">
        <v>2021</v>
      </c>
      <c r="E363" s="18" t="n">
        <v>0.489236111111111</v>
      </c>
      <c r="F363" s="17" t="n">
        <v>1770</v>
      </c>
      <c r="G363" s="17" t="s">
        <v>273</v>
      </c>
      <c r="H363" s="17" t="s">
        <v>274</v>
      </c>
      <c r="I363" s="17" t="s">
        <v>275</v>
      </c>
      <c r="J363" s="17" t="s">
        <v>276</v>
      </c>
      <c r="K363" s="17" t="n">
        <v>29</v>
      </c>
      <c r="L363" s="17" t="s">
        <v>31</v>
      </c>
      <c r="M363" s="17" t="s">
        <v>32</v>
      </c>
      <c r="N363" s="19" t="n">
        <v>15.02</v>
      </c>
      <c r="O363" s="19" t="n">
        <v>435.58</v>
      </c>
      <c r="P363" s="17" t="s">
        <v>33</v>
      </c>
      <c r="Q363" s="20" t="n">
        <f aca="false">DATE(D363,C363,B363)</f>
        <v>44250</v>
      </c>
      <c r="R363" s="17" t="str">
        <f aca="false">IF(HOUR(E363)&lt;6,"Madrugada (0-5 h)",IF(HOUR(E363)&lt;12,"Mañana (6-11 h)",IF(HOUR(E363)&lt;18,"Tarde (12-17 h)","Noche (18-23 h)")))</f>
        <v>Mañana (6-11 h)</v>
      </c>
    </row>
    <row r="364" customFormat="false" ht="15" hidden="false" customHeight="false" outlineLevel="0" collapsed="false">
      <c r="A364" s="17" t="n">
        <v>1363</v>
      </c>
      <c r="B364" s="17" t="n">
        <v>14</v>
      </c>
      <c r="C364" s="17" t="n">
        <v>11</v>
      </c>
      <c r="D364" s="17" t="n">
        <v>2021</v>
      </c>
      <c r="E364" s="18" t="n">
        <v>0.0947106481481482</v>
      </c>
      <c r="F364" s="17" t="n">
        <v>1806</v>
      </c>
      <c r="G364" s="17" t="s">
        <v>277</v>
      </c>
      <c r="H364" s="17" t="s">
        <v>278</v>
      </c>
      <c r="I364" s="17" t="s">
        <v>279</v>
      </c>
      <c r="J364" s="17" t="s">
        <v>280</v>
      </c>
      <c r="K364" s="17" t="n">
        <v>20</v>
      </c>
      <c r="L364" s="17" t="s">
        <v>31</v>
      </c>
      <c r="M364" s="17" t="s">
        <v>32</v>
      </c>
      <c r="N364" s="19" t="n">
        <v>2.02</v>
      </c>
      <c r="O364" s="19" t="n">
        <v>40.4</v>
      </c>
      <c r="P364" s="17" t="s">
        <v>33</v>
      </c>
      <c r="Q364" s="20" t="n">
        <f aca="false">DATE(D364,C364,B364)</f>
        <v>44514</v>
      </c>
      <c r="R364" s="17" t="str">
        <f aca="false">IF(HOUR(E364)&lt;6,"Madrugada (0-5 h)",IF(HOUR(E364)&lt;12,"Mañana (6-11 h)",IF(HOUR(E364)&lt;18,"Tarde (12-17 h)","Noche (18-23 h)")))</f>
        <v>Madrugada (0-5 h)</v>
      </c>
    </row>
    <row r="365" customFormat="false" ht="15" hidden="false" customHeight="false" outlineLevel="0" collapsed="false">
      <c r="A365" s="17" t="n">
        <v>1364</v>
      </c>
      <c r="B365" s="17" t="n">
        <v>1</v>
      </c>
      <c r="C365" s="17" t="n">
        <v>8</v>
      </c>
      <c r="D365" s="17" t="n">
        <v>2022</v>
      </c>
      <c r="E365" s="18" t="n">
        <v>0.0401157407407407</v>
      </c>
      <c r="F365" s="17" t="n">
        <v>2183</v>
      </c>
      <c r="G365" s="17" t="s">
        <v>224</v>
      </c>
      <c r="H365" s="17" t="s">
        <v>224</v>
      </c>
      <c r="I365" s="17" t="s">
        <v>281</v>
      </c>
      <c r="J365" s="17" t="s">
        <v>282</v>
      </c>
      <c r="K365" s="17" t="n">
        <v>29</v>
      </c>
      <c r="L365" s="17" t="s">
        <v>31</v>
      </c>
      <c r="M365" s="17" t="s">
        <v>32</v>
      </c>
      <c r="N365" s="19" t="n">
        <v>2.45</v>
      </c>
      <c r="O365" s="19" t="n">
        <v>71.05</v>
      </c>
      <c r="P365" s="17" t="s">
        <v>33</v>
      </c>
      <c r="Q365" s="20" t="n">
        <f aca="false">DATE(D365,C365,B365)</f>
        <v>44774</v>
      </c>
      <c r="R365" s="17" t="str">
        <f aca="false">IF(HOUR(E365)&lt;6,"Madrugada (0-5 h)",IF(HOUR(E365)&lt;12,"Mañana (6-11 h)",IF(HOUR(E365)&lt;18,"Tarde (12-17 h)","Noche (18-23 h)")))</f>
        <v>Madrugada (0-5 h)</v>
      </c>
    </row>
    <row r="366" customFormat="false" ht="15" hidden="false" customHeight="false" outlineLevel="0" collapsed="false">
      <c r="A366" s="17" t="n">
        <v>1365</v>
      </c>
      <c r="B366" s="17" t="n">
        <v>2</v>
      </c>
      <c r="C366" s="17" t="n">
        <v>9</v>
      </c>
      <c r="D366" s="17" t="n">
        <v>2021</v>
      </c>
      <c r="E366" s="18" t="n">
        <v>0.18212962962963</v>
      </c>
      <c r="F366" s="17" t="n">
        <v>3647</v>
      </c>
      <c r="G366" s="17" t="s">
        <v>220</v>
      </c>
      <c r="H366" s="17" t="s">
        <v>221</v>
      </c>
      <c r="I366" s="17" t="s">
        <v>283</v>
      </c>
      <c r="J366" s="17" t="s">
        <v>284</v>
      </c>
      <c r="K366" s="17" t="n">
        <v>41</v>
      </c>
      <c r="L366" s="17" t="s">
        <v>31</v>
      </c>
      <c r="M366" s="17" t="s">
        <v>32</v>
      </c>
      <c r="N366" s="19" t="n">
        <v>6.53</v>
      </c>
      <c r="O366" s="19" t="n">
        <v>267.73</v>
      </c>
      <c r="P366" s="17" t="s">
        <v>33</v>
      </c>
      <c r="Q366" s="20" t="n">
        <f aca="false">DATE(D366,C366,B366)</f>
        <v>44441</v>
      </c>
      <c r="R366" s="17" t="str">
        <f aca="false">IF(HOUR(E366)&lt;6,"Madrugada (0-5 h)",IF(HOUR(E366)&lt;12,"Mañana (6-11 h)",IF(HOUR(E366)&lt;18,"Tarde (12-17 h)","Noche (18-23 h)")))</f>
        <v>Madrugada (0-5 h)</v>
      </c>
    </row>
    <row r="367" customFormat="false" ht="15" hidden="false" customHeight="false" outlineLevel="0" collapsed="false">
      <c r="A367" s="17" t="n">
        <v>1366</v>
      </c>
      <c r="B367" s="17" t="n">
        <v>22</v>
      </c>
      <c r="C367" s="17" t="n">
        <v>4</v>
      </c>
      <c r="D367" s="17" t="n">
        <v>2021</v>
      </c>
      <c r="E367" s="18" t="n">
        <v>0.355173611111111</v>
      </c>
      <c r="F367" s="17" t="n">
        <v>2321</v>
      </c>
      <c r="G367" s="17" t="s">
        <v>285</v>
      </c>
      <c r="H367" s="17" t="s">
        <v>286</v>
      </c>
      <c r="I367" s="17" t="s">
        <v>287</v>
      </c>
      <c r="J367" s="17" t="s">
        <v>288</v>
      </c>
      <c r="K367" s="17" t="n">
        <v>21</v>
      </c>
      <c r="L367" s="17" t="s">
        <v>31</v>
      </c>
      <c r="M367" s="17" t="s">
        <v>32</v>
      </c>
      <c r="N367" s="19" t="n">
        <v>5.55</v>
      </c>
      <c r="O367" s="19" t="n">
        <v>116.55</v>
      </c>
      <c r="P367" s="17" t="s">
        <v>33</v>
      </c>
      <c r="Q367" s="20" t="n">
        <f aca="false">DATE(D367,C367,B367)</f>
        <v>44308</v>
      </c>
      <c r="R367" s="17" t="str">
        <f aca="false">IF(HOUR(E367)&lt;6,"Madrugada (0-5 h)",IF(HOUR(E367)&lt;12,"Mañana (6-11 h)",IF(HOUR(E367)&lt;18,"Tarde (12-17 h)","Noche (18-23 h)")))</f>
        <v>Mañana (6-11 h)</v>
      </c>
    </row>
    <row r="368" customFormat="false" ht="15" hidden="false" customHeight="false" outlineLevel="0" collapsed="false">
      <c r="A368" s="17" t="n">
        <v>1367</v>
      </c>
      <c r="B368" s="17" t="n">
        <v>6</v>
      </c>
      <c r="C368" s="17" t="n">
        <v>11</v>
      </c>
      <c r="D368" s="17" t="n">
        <v>2022</v>
      </c>
      <c r="E368" s="18" t="n">
        <v>0.547071759259259</v>
      </c>
      <c r="F368" s="17" t="n">
        <v>1244</v>
      </c>
      <c r="G368" s="17" t="s">
        <v>91</v>
      </c>
      <c r="H368" s="17" t="s">
        <v>92</v>
      </c>
      <c r="I368" s="17" t="s">
        <v>289</v>
      </c>
      <c r="J368" s="17" t="s">
        <v>290</v>
      </c>
      <c r="K368" s="17" t="n">
        <v>35</v>
      </c>
      <c r="L368" s="17" t="s">
        <v>61</v>
      </c>
      <c r="M368" s="17" t="s">
        <v>32</v>
      </c>
      <c r="N368" s="19" t="n">
        <v>4.12</v>
      </c>
      <c r="O368" s="19" t="n">
        <v>144.2</v>
      </c>
      <c r="P368" s="17" t="s">
        <v>33</v>
      </c>
      <c r="Q368" s="20" t="n">
        <f aca="false">DATE(D368,C368,B368)</f>
        <v>44871</v>
      </c>
      <c r="R368" s="17" t="str">
        <f aca="false">IF(HOUR(E368)&lt;6,"Madrugada (0-5 h)",IF(HOUR(E368)&lt;12,"Mañana (6-11 h)",IF(HOUR(E368)&lt;18,"Tarde (12-17 h)","Noche (18-23 h)")))</f>
        <v>Tarde (12-17 h)</v>
      </c>
    </row>
    <row r="369" customFormat="false" ht="15" hidden="false" customHeight="false" outlineLevel="0" collapsed="false">
      <c r="A369" s="17" t="n">
        <v>1368</v>
      </c>
      <c r="B369" s="17" t="n">
        <v>17</v>
      </c>
      <c r="C369" s="17" t="n">
        <v>4</v>
      </c>
      <c r="D369" s="17" t="n">
        <v>2022</v>
      </c>
      <c r="E369" s="18" t="n">
        <v>0.830717592592593</v>
      </c>
      <c r="F369" s="17" t="n">
        <v>1925</v>
      </c>
      <c r="G369" s="17" t="s">
        <v>291</v>
      </c>
      <c r="H369" s="17" t="s">
        <v>435</v>
      </c>
      <c r="I369" s="17" t="s">
        <v>293</v>
      </c>
      <c r="J369" s="17" t="s">
        <v>294</v>
      </c>
      <c r="K369" s="17" t="n">
        <v>6</v>
      </c>
      <c r="L369" s="17" t="s">
        <v>42</v>
      </c>
      <c r="M369" s="17" t="s">
        <v>32</v>
      </c>
      <c r="N369" s="19" t="n">
        <v>5.76</v>
      </c>
      <c r="O369" s="19" t="n">
        <v>34.56</v>
      </c>
      <c r="P369" s="17" t="s">
        <v>33</v>
      </c>
      <c r="Q369" s="20" t="n">
        <f aca="false">DATE(D369,C369,B369)</f>
        <v>44668</v>
      </c>
      <c r="R369" s="17" t="str">
        <f aca="false">IF(HOUR(E369)&lt;6,"Madrugada (0-5 h)",IF(HOUR(E369)&lt;12,"Mañana (6-11 h)",IF(HOUR(E369)&lt;18,"Tarde (12-17 h)","Noche (18-23 h)")))</f>
        <v>Noche (18-23 h)</v>
      </c>
    </row>
    <row r="370" customFormat="false" ht="15" hidden="false" customHeight="false" outlineLevel="0" collapsed="false">
      <c r="A370" s="17" t="n">
        <v>1369</v>
      </c>
      <c r="B370" s="17" t="n">
        <v>9</v>
      </c>
      <c r="C370" s="17" t="n">
        <v>9</v>
      </c>
      <c r="D370" s="17" t="n">
        <v>2021</v>
      </c>
      <c r="E370" s="18" t="n">
        <v>0.240497685185185</v>
      </c>
      <c r="F370" s="17" t="n">
        <v>3127</v>
      </c>
      <c r="G370" s="17" t="s">
        <v>295</v>
      </c>
      <c r="H370" s="17" t="s">
        <v>296</v>
      </c>
      <c r="I370" s="17" t="s">
        <v>297</v>
      </c>
      <c r="J370" s="17" t="s">
        <v>298</v>
      </c>
      <c r="K370" s="17" t="n">
        <v>16</v>
      </c>
      <c r="L370" s="17" t="s">
        <v>98</v>
      </c>
      <c r="M370" s="17" t="s">
        <v>62</v>
      </c>
      <c r="N370" s="19" t="n">
        <v>3.5</v>
      </c>
      <c r="O370" s="19" t="n">
        <v>56</v>
      </c>
      <c r="P370" s="17" t="s">
        <v>33</v>
      </c>
      <c r="Q370" s="20" t="n">
        <f aca="false">DATE(D370,C370,B370)</f>
        <v>44448</v>
      </c>
      <c r="R370" s="17" t="str">
        <f aca="false">IF(HOUR(E370)&lt;6,"Madrugada (0-5 h)",IF(HOUR(E370)&lt;12,"Mañana (6-11 h)",IF(HOUR(E370)&lt;18,"Tarde (12-17 h)","Noche (18-23 h)")))</f>
        <v>Madrugada (0-5 h)</v>
      </c>
    </row>
    <row r="371" customFormat="false" ht="15" hidden="false" customHeight="false" outlineLevel="0" collapsed="false">
      <c r="A371" s="17" t="n">
        <v>1370</v>
      </c>
      <c r="B371" s="17" t="n">
        <v>12</v>
      </c>
      <c r="C371" s="17" t="n">
        <v>7</v>
      </c>
      <c r="D371" s="17" t="n">
        <v>2022</v>
      </c>
      <c r="E371" s="18" t="n">
        <v>0.997418981481481</v>
      </c>
      <c r="F371" s="17" t="n">
        <v>4958</v>
      </c>
      <c r="G371" s="17" t="s">
        <v>72</v>
      </c>
      <c r="H371" s="17" t="s">
        <v>299</v>
      </c>
      <c r="I371" s="17" t="s">
        <v>300</v>
      </c>
      <c r="J371" s="17" t="s">
        <v>301</v>
      </c>
      <c r="K371" s="17" t="n">
        <v>20</v>
      </c>
      <c r="L371" s="17" t="s">
        <v>61</v>
      </c>
      <c r="M371" s="17" t="s">
        <v>76</v>
      </c>
      <c r="N371" s="19" t="n">
        <v>13.71</v>
      </c>
      <c r="O371" s="19" t="n">
        <v>274.2</v>
      </c>
      <c r="P371" s="17" t="s">
        <v>33</v>
      </c>
      <c r="Q371" s="20" t="n">
        <f aca="false">DATE(D371,C371,B371)</f>
        <v>44754</v>
      </c>
      <c r="R371" s="17" t="str">
        <f aca="false">IF(HOUR(E371)&lt;6,"Madrugada (0-5 h)",IF(HOUR(E371)&lt;12,"Mañana (6-11 h)",IF(HOUR(E371)&lt;18,"Tarde (12-17 h)","Noche (18-23 h)")))</f>
        <v>Noche (18-23 h)</v>
      </c>
    </row>
    <row r="372" customFormat="false" ht="15" hidden="false" customHeight="false" outlineLevel="0" collapsed="false">
      <c r="A372" s="17" t="n">
        <v>1371</v>
      </c>
      <c r="B372" s="17" t="n">
        <v>27</v>
      </c>
      <c r="C372" s="17" t="n">
        <v>3</v>
      </c>
      <c r="D372" s="17" t="n">
        <v>2022</v>
      </c>
      <c r="E372" s="18" t="n">
        <v>0.994143518518519</v>
      </c>
      <c r="F372" s="17" t="n">
        <v>4588</v>
      </c>
      <c r="G372" s="17" t="s">
        <v>302</v>
      </c>
      <c r="H372" s="17" t="s">
        <v>303</v>
      </c>
      <c r="I372" s="17" t="s">
        <v>300</v>
      </c>
      <c r="J372" s="17" t="s">
        <v>301</v>
      </c>
      <c r="K372" s="17" t="n">
        <v>37</v>
      </c>
      <c r="L372" s="17" t="s">
        <v>61</v>
      </c>
      <c r="M372" s="17" t="s">
        <v>76</v>
      </c>
      <c r="N372" s="19" t="n">
        <v>22.36</v>
      </c>
      <c r="O372" s="19" t="n">
        <v>827.32</v>
      </c>
      <c r="P372" s="17" t="s">
        <v>33</v>
      </c>
      <c r="Q372" s="20" t="n">
        <f aca="false">DATE(D372,C372,B372)</f>
        <v>44647</v>
      </c>
      <c r="R372" s="17" t="str">
        <f aca="false">IF(HOUR(E372)&lt;6,"Madrugada (0-5 h)",IF(HOUR(E372)&lt;12,"Mañana (6-11 h)",IF(HOUR(E372)&lt;18,"Tarde (12-17 h)","Noche (18-23 h)")))</f>
        <v>Noche (18-23 h)</v>
      </c>
    </row>
    <row r="373" customFormat="false" ht="15" hidden="false" customHeight="false" outlineLevel="0" collapsed="false">
      <c r="A373" s="17" t="n">
        <v>1372</v>
      </c>
      <c r="B373" s="17" t="n">
        <v>6</v>
      </c>
      <c r="C373" s="17" t="n">
        <v>9</v>
      </c>
      <c r="D373" s="17" t="n">
        <v>2021</v>
      </c>
      <c r="E373" s="18" t="n">
        <v>0.470844907407407</v>
      </c>
      <c r="F373" s="17" t="n">
        <v>4721</v>
      </c>
      <c r="G373" s="17" t="s">
        <v>304</v>
      </c>
      <c r="H373" s="17" t="s">
        <v>305</v>
      </c>
      <c r="I373" s="17" t="s">
        <v>305</v>
      </c>
      <c r="J373" s="17" t="s">
        <v>306</v>
      </c>
      <c r="K373" s="17" t="n">
        <v>3</v>
      </c>
      <c r="L373" s="17" t="s">
        <v>31</v>
      </c>
      <c r="M373" s="17" t="s">
        <v>32</v>
      </c>
      <c r="N373" s="19" t="n">
        <v>6.68</v>
      </c>
      <c r="O373" s="19" t="n">
        <v>20.04</v>
      </c>
      <c r="P373" s="17" t="s">
        <v>33</v>
      </c>
      <c r="Q373" s="20" t="n">
        <f aca="false">DATE(D373,C373,B373)</f>
        <v>44445</v>
      </c>
      <c r="R373" s="17" t="str">
        <f aca="false">IF(HOUR(E373)&lt;6,"Madrugada (0-5 h)",IF(HOUR(E373)&lt;12,"Mañana (6-11 h)",IF(HOUR(E373)&lt;18,"Tarde (12-17 h)","Noche (18-23 h)")))</f>
        <v>Mañana (6-11 h)</v>
      </c>
    </row>
    <row r="374" customFormat="false" ht="15" hidden="false" customHeight="false" outlineLevel="0" collapsed="false">
      <c r="A374" s="17" t="n">
        <v>1373</v>
      </c>
      <c r="B374" s="17" t="n">
        <v>8</v>
      </c>
      <c r="C374" s="17" t="n">
        <v>9</v>
      </c>
      <c r="D374" s="17" t="n">
        <v>2021</v>
      </c>
      <c r="E374" s="18" t="n">
        <v>0.391238425925926</v>
      </c>
      <c r="F374" s="17" t="n">
        <v>4647</v>
      </c>
      <c r="G374" s="17" t="s">
        <v>307</v>
      </c>
      <c r="H374" s="17" t="s">
        <v>250</v>
      </c>
      <c r="I374" s="17" t="s">
        <v>308</v>
      </c>
      <c r="J374" s="17" t="s">
        <v>309</v>
      </c>
      <c r="K374" s="17" t="n">
        <v>21</v>
      </c>
      <c r="L374" s="17" t="s">
        <v>31</v>
      </c>
      <c r="M374" s="17" t="s">
        <v>32</v>
      </c>
      <c r="N374" s="19" t="n">
        <v>10.05</v>
      </c>
      <c r="O374" s="19" t="n">
        <v>211.05</v>
      </c>
      <c r="P374" s="17" t="s">
        <v>33</v>
      </c>
      <c r="Q374" s="20" t="n">
        <f aca="false">DATE(D374,C374,B374)</f>
        <v>44447</v>
      </c>
      <c r="R374" s="17" t="str">
        <f aca="false">IF(HOUR(E374)&lt;6,"Madrugada (0-5 h)",IF(HOUR(E374)&lt;12,"Mañana (6-11 h)",IF(HOUR(E374)&lt;18,"Tarde (12-17 h)","Noche (18-23 h)")))</f>
        <v>Mañana (6-11 h)</v>
      </c>
    </row>
    <row r="375" customFormat="false" ht="15" hidden="false" customHeight="false" outlineLevel="0" collapsed="false">
      <c r="A375" s="17" t="n">
        <v>1374</v>
      </c>
      <c r="B375" s="17" t="n">
        <v>17</v>
      </c>
      <c r="C375" s="17" t="n">
        <v>5</v>
      </c>
      <c r="D375" s="17" t="n">
        <v>2022</v>
      </c>
      <c r="E375" s="18" t="n">
        <v>0.493240740740741</v>
      </c>
      <c r="F375" s="17" t="n">
        <v>2649</v>
      </c>
      <c r="G375" s="17" t="s">
        <v>310</v>
      </c>
      <c r="H375" s="17" t="s">
        <v>311</v>
      </c>
      <c r="I375" s="17" t="s">
        <v>312</v>
      </c>
      <c r="J375" s="17" t="s">
        <v>313</v>
      </c>
      <c r="K375" s="17" t="n">
        <v>29</v>
      </c>
      <c r="L375" s="17" t="s">
        <v>31</v>
      </c>
      <c r="M375" s="17" t="s">
        <v>32</v>
      </c>
      <c r="N375" s="19" t="n">
        <v>1.55</v>
      </c>
      <c r="O375" s="19" t="n">
        <v>44.95</v>
      </c>
      <c r="P375" s="17" t="s">
        <v>33</v>
      </c>
      <c r="Q375" s="20" t="n">
        <f aca="false">DATE(D375,C375,B375)</f>
        <v>44698</v>
      </c>
      <c r="R375" s="17" t="str">
        <f aca="false">IF(HOUR(E375)&lt;6,"Madrugada (0-5 h)",IF(HOUR(E375)&lt;12,"Mañana (6-11 h)",IF(HOUR(E375)&lt;18,"Tarde (12-17 h)","Noche (18-23 h)")))</f>
        <v>Mañana (6-11 h)</v>
      </c>
    </row>
    <row r="376" customFormat="false" ht="15" hidden="false" customHeight="false" outlineLevel="0" collapsed="false">
      <c r="A376" s="17" t="n">
        <v>1375</v>
      </c>
      <c r="B376" s="17" t="n">
        <v>4</v>
      </c>
      <c r="C376" s="17" t="n">
        <v>7</v>
      </c>
      <c r="D376" s="17" t="n">
        <v>2022</v>
      </c>
      <c r="E376" s="18" t="n">
        <v>0.654872685185185</v>
      </c>
      <c r="F376" s="17" t="n">
        <v>4452</v>
      </c>
      <c r="G376" s="17" t="s">
        <v>314</v>
      </c>
      <c r="H376" s="17" t="s">
        <v>315</v>
      </c>
      <c r="I376" s="17" t="s">
        <v>316</v>
      </c>
      <c r="J376" s="17" t="s">
        <v>317</v>
      </c>
      <c r="K376" s="17" t="n">
        <v>38</v>
      </c>
      <c r="L376" s="17" t="s">
        <v>31</v>
      </c>
      <c r="M376" s="17" t="s">
        <v>32</v>
      </c>
      <c r="N376" s="19" t="n">
        <v>4.55</v>
      </c>
      <c r="O376" s="19" t="n">
        <v>172.9</v>
      </c>
      <c r="P376" s="17" t="s">
        <v>33</v>
      </c>
      <c r="Q376" s="20" t="n">
        <f aca="false">DATE(D376,C376,B376)</f>
        <v>44746</v>
      </c>
      <c r="R376" s="17" t="str">
        <f aca="false">IF(HOUR(E376)&lt;6,"Madrugada (0-5 h)",IF(HOUR(E376)&lt;12,"Mañana (6-11 h)",IF(HOUR(E376)&lt;18,"Tarde (12-17 h)","Noche (18-23 h)")))</f>
        <v>Tarde (12-17 h)</v>
      </c>
    </row>
    <row r="377" customFormat="false" ht="15" hidden="false" customHeight="false" outlineLevel="0" collapsed="false">
      <c r="A377" s="17" t="n">
        <v>1376</v>
      </c>
      <c r="B377" s="17" t="n">
        <v>25</v>
      </c>
      <c r="C377" s="17" t="n">
        <v>3</v>
      </c>
      <c r="D377" s="17" t="n">
        <v>2021</v>
      </c>
      <c r="E377" s="18" t="n">
        <v>0.170671296296296</v>
      </c>
      <c r="F377" s="17" t="n">
        <v>2480</v>
      </c>
      <c r="G377" s="17" t="s">
        <v>318</v>
      </c>
      <c r="H377" s="17" t="s">
        <v>319</v>
      </c>
      <c r="I377" s="17" t="s">
        <v>320</v>
      </c>
      <c r="J377" s="17" t="s">
        <v>321</v>
      </c>
      <c r="K377" s="17" t="n">
        <v>6</v>
      </c>
      <c r="L377" s="17" t="s">
        <v>31</v>
      </c>
      <c r="M377" s="17" t="s">
        <v>82</v>
      </c>
      <c r="N377" s="19" t="n">
        <v>5.74</v>
      </c>
      <c r="O377" s="19" t="n">
        <v>34.44</v>
      </c>
      <c r="P377" s="17" t="s">
        <v>33</v>
      </c>
      <c r="Q377" s="20" t="n">
        <f aca="false">DATE(D377,C377,B377)</f>
        <v>44280</v>
      </c>
      <c r="R377" s="17" t="str">
        <f aca="false">IF(HOUR(E377)&lt;6,"Madrugada (0-5 h)",IF(HOUR(E377)&lt;12,"Mañana (6-11 h)",IF(HOUR(E377)&lt;18,"Tarde (12-17 h)","Noche (18-23 h)")))</f>
        <v>Madrugada (0-5 h)</v>
      </c>
    </row>
    <row r="378" customFormat="false" ht="15" hidden="false" customHeight="false" outlineLevel="0" collapsed="false">
      <c r="A378" s="17" t="n">
        <v>1377</v>
      </c>
      <c r="B378" s="17" t="n">
        <v>22</v>
      </c>
      <c r="C378" s="17" t="n">
        <v>6</v>
      </c>
      <c r="D378" s="17" t="n">
        <v>2021</v>
      </c>
      <c r="E378" s="18" t="n">
        <v>0.477696759259259</v>
      </c>
      <c r="F378" s="17" t="n">
        <v>1567</v>
      </c>
      <c r="G378" s="17" t="s">
        <v>322</v>
      </c>
      <c r="H378" s="17" t="s">
        <v>323</v>
      </c>
      <c r="I378" s="17" t="s">
        <v>324</v>
      </c>
      <c r="J378" s="17" t="s">
        <v>325</v>
      </c>
      <c r="K378" s="17" t="n">
        <v>2</v>
      </c>
      <c r="L378" s="17" t="s">
        <v>61</v>
      </c>
      <c r="M378" s="17" t="s">
        <v>76</v>
      </c>
      <c r="N378" s="19" t="n">
        <v>10.99</v>
      </c>
      <c r="O378" s="19" t="n">
        <v>21.98</v>
      </c>
      <c r="P378" s="17" t="s">
        <v>33</v>
      </c>
      <c r="Q378" s="20" t="n">
        <f aca="false">DATE(D378,C378,B378)</f>
        <v>44369</v>
      </c>
      <c r="R378" s="17" t="str">
        <f aca="false">IF(HOUR(E378)&lt;6,"Madrugada (0-5 h)",IF(HOUR(E378)&lt;12,"Mañana (6-11 h)",IF(HOUR(E378)&lt;18,"Tarde (12-17 h)","Noche (18-23 h)")))</f>
        <v>Mañana (6-11 h)</v>
      </c>
    </row>
    <row r="379" customFormat="false" ht="15" hidden="false" customHeight="false" outlineLevel="0" collapsed="false">
      <c r="A379" s="17" t="n">
        <v>1378</v>
      </c>
      <c r="B379" s="17" t="n">
        <v>19</v>
      </c>
      <c r="C379" s="17" t="n">
        <v>10</v>
      </c>
      <c r="D379" s="17" t="n">
        <v>2022</v>
      </c>
      <c r="E379" s="18" t="n">
        <v>0.812476851851852</v>
      </c>
      <c r="F379" s="17" t="n">
        <v>3903</v>
      </c>
      <c r="G379" s="17" t="s">
        <v>188</v>
      </c>
      <c r="H379" s="17" t="s">
        <v>326</v>
      </c>
      <c r="I379" s="17" t="s">
        <v>190</v>
      </c>
      <c r="J379" s="17" t="s">
        <v>191</v>
      </c>
      <c r="K379" s="17" t="n">
        <v>21</v>
      </c>
      <c r="L379" s="17" t="s">
        <v>61</v>
      </c>
      <c r="M379" s="17" t="s">
        <v>76</v>
      </c>
      <c r="N379" s="19" t="n">
        <v>13.55</v>
      </c>
      <c r="O379" s="19" t="n">
        <v>284.55</v>
      </c>
      <c r="P379" s="17" t="s">
        <v>43</v>
      </c>
      <c r="Q379" s="20" t="n">
        <f aca="false">DATE(D379,C379,B379)</f>
        <v>44853</v>
      </c>
      <c r="R379" s="17" t="str">
        <f aca="false">IF(HOUR(E379)&lt;6,"Madrugada (0-5 h)",IF(HOUR(E379)&lt;12,"Mañana (6-11 h)",IF(HOUR(E379)&lt;18,"Tarde (12-17 h)","Noche (18-23 h)")))</f>
        <v>Noche (18-23 h)</v>
      </c>
    </row>
    <row r="380" customFormat="false" ht="15" hidden="false" customHeight="false" outlineLevel="0" collapsed="false">
      <c r="A380" s="17" t="n">
        <v>1379</v>
      </c>
      <c r="B380" s="17" t="n">
        <v>9</v>
      </c>
      <c r="C380" s="17" t="n">
        <v>6</v>
      </c>
      <c r="D380" s="17" t="n">
        <v>2021</v>
      </c>
      <c r="E380" s="18" t="n">
        <v>0.631851851851852</v>
      </c>
      <c r="F380" s="17" t="n">
        <v>2882</v>
      </c>
      <c r="G380" s="17" t="s">
        <v>327</v>
      </c>
      <c r="H380" s="17" t="s">
        <v>84</v>
      </c>
      <c r="I380" s="17" t="s">
        <v>222</v>
      </c>
      <c r="J380" s="17" t="s">
        <v>328</v>
      </c>
      <c r="K380" s="17" t="n">
        <v>48</v>
      </c>
      <c r="L380" s="17" t="s">
        <v>42</v>
      </c>
      <c r="M380" s="17" t="s">
        <v>32</v>
      </c>
      <c r="N380" s="19" t="n">
        <v>5.56</v>
      </c>
      <c r="O380" s="19" t="n">
        <v>266.88</v>
      </c>
      <c r="P380" s="17" t="s">
        <v>33</v>
      </c>
      <c r="Q380" s="20" t="n">
        <f aca="false">DATE(D380,C380,B380)</f>
        <v>44356</v>
      </c>
      <c r="R380" s="17" t="str">
        <f aca="false">IF(HOUR(E380)&lt;6,"Madrugada (0-5 h)",IF(HOUR(E380)&lt;12,"Mañana (6-11 h)",IF(HOUR(E380)&lt;18,"Tarde (12-17 h)","Noche (18-23 h)")))</f>
        <v>Tarde (12-17 h)</v>
      </c>
    </row>
    <row r="381" customFormat="false" ht="15" hidden="false" customHeight="false" outlineLevel="0" collapsed="false">
      <c r="A381" s="17" t="n">
        <v>1380</v>
      </c>
      <c r="B381" s="17" t="n">
        <v>17</v>
      </c>
      <c r="C381" s="17" t="n">
        <v>10</v>
      </c>
      <c r="D381" s="17" t="n">
        <v>2022</v>
      </c>
      <c r="E381" s="18" t="n">
        <v>0.164398148148148</v>
      </c>
      <c r="F381" s="17" t="n">
        <v>2069</v>
      </c>
      <c r="G381" s="17" t="s">
        <v>329</v>
      </c>
      <c r="H381" s="17" t="s">
        <v>330</v>
      </c>
      <c r="I381" s="17" t="s">
        <v>331</v>
      </c>
      <c r="J381" s="17" t="s">
        <v>332</v>
      </c>
      <c r="K381" s="17" t="n">
        <v>26</v>
      </c>
      <c r="L381" s="17" t="s">
        <v>81</v>
      </c>
      <c r="M381" s="17" t="s">
        <v>333</v>
      </c>
      <c r="N381" s="19" t="n">
        <v>3.32</v>
      </c>
      <c r="O381" s="19" t="n">
        <v>86.32</v>
      </c>
      <c r="P381" s="17" t="s">
        <v>43</v>
      </c>
      <c r="Q381" s="20" t="n">
        <f aca="false">DATE(D381,C381,B381)</f>
        <v>44851</v>
      </c>
      <c r="R381" s="17" t="str">
        <f aca="false">IF(HOUR(E381)&lt;6,"Madrugada (0-5 h)",IF(HOUR(E381)&lt;12,"Mañana (6-11 h)",IF(HOUR(E381)&lt;18,"Tarde (12-17 h)","Noche (18-23 h)")))</f>
        <v>Madrugada (0-5 h)</v>
      </c>
    </row>
    <row r="382" customFormat="false" ht="15" hidden="false" customHeight="false" outlineLevel="0" collapsed="false">
      <c r="A382" s="17" t="n">
        <v>1381</v>
      </c>
      <c r="B382" s="17" t="n">
        <v>25</v>
      </c>
      <c r="C382" s="17" t="n">
        <v>11</v>
      </c>
      <c r="D382" s="17" t="n">
        <v>2022</v>
      </c>
      <c r="E382" s="18" t="n">
        <v>0.7021875</v>
      </c>
      <c r="F382" s="17" t="n">
        <v>2124</v>
      </c>
      <c r="G382" s="17" t="s">
        <v>334</v>
      </c>
      <c r="H382" s="17" t="s">
        <v>88</v>
      </c>
      <c r="I382" s="17" t="s">
        <v>335</v>
      </c>
      <c r="J382" s="17" t="s">
        <v>336</v>
      </c>
      <c r="K382" s="17" t="n">
        <v>25</v>
      </c>
      <c r="L382" s="17" t="s">
        <v>81</v>
      </c>
      <c r="M382" s="17" t="s">
        <v>333</v>
      </c>
      <c r="N382" s="19" t="n">
        <v>54</v>
      </c>
      <c r="O382" s="19" t="n">
        <v>1350</v>
      </c>
      <c r="P382" s="17" t="s">
        <v>33</v>
      </c>
      <c r="Q382" s="20" t="n">
        <f aca="false">DATE(D382,C382,B382)</f>
        <v>44890</v>
      </c>
      <c r="R382" s="17" t="str">
        <f aca="false">IF(HOUR(E382)&lt;6,"Madrugada (0-5 h)",IF(HOUR(E382)&lt;12,"Mañana (6-11 h)",IF(HOUR(E382)&lt;18,"Tarde (12-17 h)","Noche (18-23 h)")))</f>
        <v>Tarde (12-17 h)</v>
      </c>
    </row>
    <row r="383" customFormat="false" ht="15" hidden="false" customHeight="false" outlineLevel="0" collapsed="false">
      <c r="A383" s="17" t="n">
        <v>1382</v>
      </c>
      <c r="B383" s="17" t="n">
        <v>18</v>
      </c>
      <c r="C383" s="17" t="n">
        <v>2</v>
      </c>
      <c r="D383" s="17" t="n">
        <v>2021</v>
      </c>
      <c r="E383" s="18" t="n">
        <v>0.780300925925926</v>
      </c>
      <c r="F383" s="17" t="n">
        <v>4992</v>
      </c>
      <c r="G383" s="17" t="s">
        <v>337</v>
      </c>
      <c r="H383" s="17" t="s">
        <v>338</v>
      </c>
      <c r="I383" s="17" t="s">
        <v>339</v>
      </c>
      <c r="J383" s="17" t="s">
        <v>340</v>
      </c>
      <c r="K383" s="17" t="n">
        <v>28</v>
      </c>
      <c r="L383" s="17" t="s">
        <v>81</v>
      </c>
      <c r="M383" s="17" t="s">
        <v>333</v>
      </c>
      <c r="N383" s="19" t="n">
        <v>13.42</v>
      </c>
      <c r="O383" s="19" t="n">
        <v>375.76</v>
      </c>
      <c r="P383" s="17" t="s">
        <v>33</v>
      </c>
      <c r="Q383" s="20" t="n">
        <f aca="false">DATE(D383,C383,B383)</f>
        <v>44245</v>
      </c>
      <c r="R383" s="17" t="str">
        <f aca="false">IF(HOUR(E383)&lt;6,"Madrugada (0-5 h)",IF(HOUR(E383)&lt;12,"Mañana (6-11 h)",IF(HOUR(E383)&lt;18,"Tarde (12-17 h)","Noche (18-23 h)")))</f>
        <v>Noche (18-23 h)</v>
      </c>
    </row>
    <row r="384" customFormat="false" ht="15" hidden="false" customHeight="false" outlineLevel="0" collapsed="false">
      <c r="A384" s="17" t="n">
        <v>1383</v>
      </c>
      <c r="B384" s="17" t="n">
        <v>4</v>
      </c>
      <c r="C384" s="17" t="n">
        <v>12</v>
      </c>
      <c r="D384" s="17" t="n">
        <v>2022</v>
      </c>
      <c r="E384" s="18" t="n">
        <v>0.350821759259259</v>
      </c>
      <c r="F384" s="17" t="n">
        <v>4068</v>
      </c>
      <c r="G384" s="17" t="s">
        <v>341</v>
      </c>
      <c r="H384" s="17" t="s">
        <v>342</v>
      </c>
      <c r="I384" s="17" t="s">
        <v>343</v>
      </c>
      <c r="J384" s="17" t="s">
        <v>344</v>
      </c>
      <c r="K384" s="17" t="n">
        <v>49</v>
      </c>
      <c r="L384" s="17" t="s">
        <v>81</v>
      </c>
      <c r="M384" s="17" t="s">
        <v>333</v>
      </c>
      <c r="N384" s="19" t="n">
        <v>45.04</v>
      </c>
      <c r="O384" s="19" t="n">
        <v>2206.96</v>
      </c>
      <c r="P384" s="17" t="s">
        <v>33</v>
      </c>
      <c r="Q384" s="20" t="n">
        <f aca="false">DATE(D384,C384,B384)</f>
        <v>44899</v>
      </c>
      <c r="R384" s="17" t="str">
        <f aca="false">IF(HOUR(E384)&lt;6,"Madrugada (0-5 h)",IF(HOUR(E384)&lt;12,"Mañana (6-11 h)",IF(HOUR(E384)&lt;18,"Tarde (12-17 h)","Noche (18-23 h)")))</f>
        <v>Mañana (6-11 h)</v>
      </c>
    </row>
    <row r="385" customFormat="false" ht="15" hidden="false" customHeight="false" outlineLevel="0" collapsed="false">
      <c r="A385" s="17" t="n">
        <v>1384</v>
      </c>
      <c r="B385" s="17" t="n">
        <v>13</v>
      </c>
      <c r="C385" s="17" t="n">
        <v>2</v>
      </c>
      <c r="D385" s="17" t="n">
        <v>2021</v>
      </c>
      <c r="E385" s="18" t="n">
        <v>0.354976851851852</v>
      </c>
      <c r="F385" s="17" t="n">
        <v>2355</v>
      </c>
      <c r="G385" s="17" t="s">
        <v>345</v>
      </c>
      <c r="H385" s="17" t="s">
        <v>346</v>
      </c>
      <c r="I385" s="17" t="s">
        <v>347</v>
      </c>
      <c r="J385" s="17" t="s">
        <v>348</v>
      </c>
      <c r="K385" s="17" t="n">
        <v>21</v>
      </c>
      <c r="L385" s="17" t="s">
        <v>81</v>
      </c>
      <c r="M385" s="17" t="s">
        <v>32</v>
      </c>
      <c r="N385" s="19" t="n">
        <v>20.05</v>
      </c>
      <c r="O385" s="19" t="n">
        <v>421.05</v>
      </c>
      <c r="P385" s="17" t="s">
        <v>33</v>
      </c>
      <c r="Q385" s="20" t="n">
        <f aca="false">DATE(D385,C385,B385)</f>
        <v>44240</v>
      </c>
      <c r="R385" s="17" t="str">
        <f aca="false">IF(HOUR(E385)&lt;6,"Madrugada (0-5 h)",IF(HOUR(E385)&lt;12,"Mañana (6-11 h)",IF(HOUR(E385)&lt;18,"Tarde (12-17 h)","Noche (18-23 h)")))</f>
        <v>Mañana (6-11 h)</v>
      </c>
    </row>
    <row r="386" customFormat="false" ht="15" hidden="false" customHeight="false" outlineLevel="0" collapsed="false">
      <c r="A386" s="17" t="n">
        <v>1385</v>
      </c>
      <c r="B386" s="17" t="n">
        <v>1</v>
      </c>
      <c r="C386" s="17" t="n">
        <v>12</v>
      </c>
      <c r="D386" s="17" t="n">
        <v>2021</v>
      </c>
      <c r="E386" s="18" t="n">
        <v>0.35119212962963</v>
      </c>
      <c r="F386" s="17" t="n">
        <v>1977</v>
      </c>
      <c r="G386" s="17" t="s">
        <v>349</v>
      </c>
      <c r="H386" s="17" t="s">
        <v>350</v>
      </c>
      <c r="I386" s="17" t="s">
        <v>351</v>
      </c>
      <c r="J386" s="17" t="s">
        <v>352</v>
      </c>
      <c r="K386" s="17" t="n">
        <v>44</v>
      </c>
      <c r="L386" s="17" t="s">
        <v>81</v>
      </c>
      <c r="M386" s="17" t="s">
        <v>32</v>
      </c>
      <c r="N386" s="19" t="n">
        <v>7.98</v>
      </c>
      <c r="O386" s="19" t="n">
        <v>351.12</v>
      </c>
      <c r="P386" s="17" t="s">
        <v>43</v>
      </c>
      <c r="Q386" s="20" t="n">
        <f aca="false">DATE(D386,C386,B386)</f>
        <v>44531</v>
      </c>
      <c r="R386" s="17" t="str">
        <f aca="false">IF(HOUR(E386)&lt;6,"Madrugada (0-5 h)",IF(HOUR(E386)&lt;12,"Mañana (6-11 h)",IF(HOUR(E386)&lt;18,"Tarde (12-17 h)","Noche (18-23 h)")))</f>
        <v>Mañana (6-11 h)</v>
      </c>
    </row>
    <row r="387" customFormat="false" ht="15" hidden="false" customHeight="false" outlineLevel="0" collapsed="false">
      <c r="A387" s="17" t="n">
        <v>1386</v>
      </c>
      <c r="B387" s="17" t="n">
        <v>12</v>
      </c>
      <c r="C387" s="17" t="n">
        <v>9</v>
      </c>
      <c r="D387" s="17" t="n">
        <v>2022</v>
      </c>
      <c r="E387" s="18" t="n">
        <v>0.685694444444445</v>
      </c>
      <c r="F387" s="17" t="n">
        <v>4366</v>
      </c>
      <c r="G387" s="17" t="s">
        <v>353</v>
      </c>
      <c r="H387" s="17" t="s">
        <v>354</v>
      </c>
      <c r="I387" s="17" t="s">
        <v>355</v>
      </c>
      <c r="J387" s="17" t="s">
        <v>356</v>
      </c>
      <c r="K387" s="17" t="n">
        <v>14</v>
      </c>
      <c r="L387" s="17" t="s">
        <v>125</v>
      </c>
      <c r="M387" s="17" t="s">
        <v>82</v>
      </c>
      <c r="N387" s="19" t="n">
        <v>24.43</v>
      </c>
      <c r="O387" s="19" t="n">
        <v>342.02</v>
      </c>
      <c r="P387" s="17" t="s">
        <v>33</v>
      </c>
      <c r="Q387" s="20" t="n">
        <f aca="false">DATE(D387,C387,B387)</f>
        <v>44816</v>
      </c>
      <c r="R387" s="17" t="str">
        <f aca="false">IF(HOUR(E387)&lt;6,"Madrugada (0-5 h)",IF(HOUR(E387)&lt;12,"Mañana (6-11 h)",IF(HOUR(E387)&lt;18,"Tarde (12-17 h)","Noche (18-23 h)")))</f>
        <v>Tarde (12-17 h)</v>
      </c>
    </row>
    <row r="388" customFormat="false" ht="15" hidden="false" customHeight="false" outlineLevel="0" collapsed="false">
      <c r="A388" s="17" t="n">
        <v>1387</v>
      </c>
      <c r="B388" s="17" t="n">
        <v>10</v>
      </c>
      <c r="C388" s="17" t="n">
        <v>6</v>
      </c>
      <c r="D388" s="17" t="n">
        <v>2021</v>
      </c>
      <c r="E388" s="18" t="n">
        <v>0.144375</v>
      </c>
      <c r="F388" s="17" t="n">
        <v>3769</v>
      </c>
      <c r="G388" s="17" t="s">
        <v>357</v>
      </c>
      <c r="H388" s="17" t="s">
        <v>358</v>
      </c>
      <c r="I388" s="17" t="s">
        <v>359</v>
      </c>
      <c r="J388" s="17" t="s">
        <v>360</v>
      </c>
      <c r="K388" s="17" t="n">
        <v>28</v>
      </c>
      <c r="L388" s="17" t="s">
        <v>81</v>
      </c>
      <c r="M388" s="17" t="s">
        <v>76</v>
      </c>
      <c r="N388" s="19" t="n">
        <v>6.3</v>
      </c>
      <c r="O388" s="19" t="n">
        <v>176.4</v>
      </c>
      <c r="P388" s="17" t="s">
        <v>33</v>
      </c>
      <c r="Q388" s="20" t="n">
        <f aca="false">DATE(D388,C388,B388)</f>
        <v>44357</v>
      </c>
      <c r="R388" s="17" t="str">
        <f aca="false">IF(HOUR(E388)&lt;6,"Madrugada (0-5 h)",IF(HOUR(E388)&lt;12,"Mañana (6-11 h)",IF(HOUR(E388)&lt;18,"Tarde (12-17 h)","Noche (18-23 h)")))</f>
        <v>Madrugada (0-5 h)</v>
      </c>
    </row>
    <row r="389" customFormat="false" ht="15" hidden="false" customHeight="false" outlineLevel="0" collapsed="false">
      <c r="A389" s="17" t="n">
        <v>1388</v>
      </c>
      <c r="B389" s="17" t="n">
        <v>14</v>
      </c>
      <c r="C389" s="17" t="n">
        <v>12</v>
      </c>
      <c r="D389" s="17" t="n">
        <v>2022</v>
      </c>
      <c r="E389" s="18" t="n">
        <v>0.868865740740741</v>
      </c>
      <c r="F389" s="17" t="n">
        <v>3888</v>
      </c>
      <c r="G389" s="17" t="s">
        <v>361</v>
      </c>
      <c r="H389" s="17" t="s">
        <v>436</v>
      </c>
      <c r="I389" s="17" t="s">
        <v>363</v>
      </c>
      <c r="J389" s="17" t="s">
        <v>364</v>
      </c>
      <c r="K389" s="17" t="n">
        <v>34</v>
      </c>
      <c r="L389" s="17" t="s">
        <v>81</v>
      </c>
      <c r="M389" s="17" t="s">
        <v>76</v>
      </c>
      <c r="N389" s="19" t="n">
        <v>1.89</v>
      </c>
      <c r="O389" s="19" t="n">
        <v>64.26</v>
      </c>
      <c r="P389" s="17" t="s">
        <v>33</v>
      </c>
      <c r="Q389" s="20" t="n">
        <f aca="false">DATE(D389,C389,B389)</f>
        <v>44909</v>
      </c>
      <c r="R389" s="17" t="str">
        <f aca="false">IF(HOUR(E389)&lt;6,"Madrugada (0-5 h)",IF(HOUR(E389)&lt;12,"Mañana (6-11 h)",IF(HOUR(E389)&lt;18,"Tarde (12-17 h)","Noche (18-23 h)")))</f>
        <v>Noche (18-23 h)</v>
      </c>
    </row>
    <row r="390" customFormat="false" ht="15" hidden="false" customHeight="false" outlineLevel="0" collapsed="false">
      <c r="A390" s="17" t="n">
        <v>1389</v>
      </c>
      <c r="B390" s="17" t="n">
        <v>9</v>
      </c>
      <c r="C390" s="17" t="n">
        <v>7</v>
      </c>
      <c r="D390" s="17" t="n">
        <v>2021</v>
      </c>
      <c r="E390" s="18" t="n">
        <v>0.453020833333333</v>
      </c>
      <c r="F390" s="17" t="n">
        <v>4516</v>
      </c>
      <c r="G390" s="17" t="s">
        <v>365</v>
      </c>
      <c r="H390" s="17" t="s">
        <v>366</v>
      </c>
      <c r="I390" s="17" t="s">
        <v>367</v>
      </c>
      <c r="J390" s="17" t="s">
        <v>368</v>
      </c>
      <c r="K390" s="17" t="n">
        <v>21</v>
      </c>
      <c r="L390" s="17" t="s">
        <v>81</v>
      </c>
      <c r="M390" s="17" t="s">
        <v>32</v>
      </c>
      <c r="N390" s="19" t="n">
        <v>2.3</v>
      </c>
      <c r="O390" s="19" t="n">
        <v>48.3</v>
      </c>
      <c r="P390" s="17" t="s">
        <v>33</v>
      </c>
      <c r="Q390" s="20" t="n">
        <f aca="false">DATE(D390,C390,B390)</f>
        <v>44386</v>
      </c>
      <c r="R390" s="17" t="str">
        <f aca="false">IF(HOUR(E390)&lt;6,"Madrugada (0-5 h)",IF(HOUR(E390)&lt;12,"Mañana (6-11 h)",IF(HOUR(E390)&lt;18,"Tarde (12-17 h)","Noche (18-23 h)")))</f>
        <v>Mañana (6-11 h)</v>
      </c>
    </row>
    <row r="391" customFormat="false" ht="15" hidden="false" customHeight="false" outlineLevel="0" collapsed="false">
      <c r="A391" s="17" t="n">
        <v>1390</v>
      </c>
      <c r="B391" s="17" t="n">
        <v>6</v>
      </c>
      <c r="C391" s="17" t="n">
        <v>11</v>
      </c>
      <c r="D391" s="17" t="n">
        <v>2022</v>
      </c>
      <c r="E391" s="18" t="n">
        <v>0.0293171296296296</v>
      </c>
      <c r="F391" s="17" t="n">
        <v>4790</v>
      </c>
      <c r="G391" s="17" t="s">
        <v>369</v>
      </c>
      <c r="H391" s="17" t="s">
        <v>370</v>
      </c>
      <c r="I391" s="17" t="s">
        <v>371</v>
      </c>
      <c r="J391" s="17" t="s">
        <v>372</v>
      </c>
      <c r="K391" s="17" t="n">
        <v>24</v>
      </c>
      <c r="L391" s="17" t="s">
        <v>81</v>
      </c>
      <c r="M391" s="17" t="s">
        <v>32</v>
      </c>
      <c r="N391" s="19" t="n">
        <v>6.76</v>
      </c>
      <c r="O391" s="19" t="n">
        <v>162.24</v>
      </c>
      <c r="P391" s="17" t="s">
        <v>33</v>
      </c>
      <c r="Q391" s="20" t="n">
        <f aca="false">DATE(D391,C391,B391)</f>
        <v>44871</v>
      </c>
      <c r="R391" s="17" t="str">
        <f aca="false">IF(HOUR(E391)&lt;6,"Madrugada (0-5 h)",IF(HOUR(E391)&lt;12,"Mañana (6-11 h)",IF(HOUR(E391)&lt;18,"Tarde (12-17 h)","Noche (18-23 h)")))</f>
        <v>Madrugada (0-5 h)</v>
      </c>
    </row>
    <row r="392" customFormat="false" ht="15" hidden="false" customHeight="false" outlineLevel="0" collapsed="false">
      <c r="A392" s="17" t="n">
        <v>1391</v>
      </c>
      <c r="B392" s="17" t="n">
        <v>22</v>
      </c>
      <c r="C392" s="17" t="n">
        <v>2</v>
      </c>
      <c r="D392" s="17" t="n">
        <v>2022</v>
      </c>
      <c r="E392" s="18" t="n">
        <v>0.205983796296296</v>
      </c>
      <c r="F392" s="17" t="n">
        <v>4842</v>
      </c>
      <c r="G392" s="17" t="s">
        <v>373</v>
      </c>
      <c r="H392" s="17" t="s">
        <v>374</v>
      </c>
      <c r="I392" s="17" t="s">
        <v>375</v>
      </c>
      <c r="J392" s="17" t="s">
        <v>376</v>
      </c>
      <c r="K392" s="17" t="n">
        <v>17</v>
      </c>
      <c r="L392" s="17" t="s">
        <v>81</v>
      </c>
      <c r="M392" s="17" t="s">
        <v>32</v>
      </c>
      <c r="N392" s="19" t="n">
        <v>7.3</v>
      </c>
      <c r="O392" s="19" t="n">
        <v>124.1</v>
      </c>
      <c r="P392" s="17" t="s">
        <v>43</v>
      </c>
      <c r="Q392" s="20" t="n">
        <f aca="false">DATE(D392,C392,B392)</f>
        <v>44614</v>
      </c>
      <c r="R392" s="17" t="str">
        <f aca="false">IF(HOUR(E392)&lt;6,"Madrugada (0-5 h)",IF(HOUR(E392)&lt;12,"Mañana (6-11 h)",IF(HOUR(E392)&lt;18,"Tarde (12-17 h)","Noche (18-23 h)")))</f>
        <v>Madrugada (0-5 h)</v>
      </c>
    </row>
    <row r="393" customFormat="false" ht="15" hidden="false" customHeight="false" outlineLevel="0" collapsed="false">
      <c r="A393" s="17" t="n">
        <v>1392</v>
      </c>
      <c r="B393" s="17" t="n">
        <v>6</v>
      </c>
      <c r="C393" s="17" t="n">
        <v>7</v>
      </c>
      <c r="D393" s="17" t="n">
        <v>2021</v>
      </c>
      <c r="E393" s="18" t="n">
        <v>0.0280439814814815</v>
      </c>
      <c r="F393" s="17" t="n">
        <v>1666</v>
      </c>
      <c r="G393" s="17" t="s">
        <v>377</v>
      </c>
      <c r="H393" s="17" t="s">
        <v>137</v>
      </c>
      <c r="I393" s="17" t="s">
        <v>437</v>
      </c>
      <c r="J393" s="17" t="s">
        <v>379</v>
      </c>
      <c r="K393" s="17" t="n">
        <v>7</v>
      </c>
      <c r="L393" s="17" t="s">
        <v>81</v>
      </c>
      <c r="M393" s="17" t="s">
        <v>32</v>
      </c>
      <c r="N393" s="19" t="n">
        <v>6.3</v>
      </c>
      <c r="O393" s="19" t="n">
        <v>44.1</v>
      </c>
      <c r="P393" s="17" t="s">
        <v>33</v>
      </c>
      <c r="Q393" s="20" t="n">
        <f aca="false">DATE(D393,C393,B393)</f>
        <v>44383</v>
      </c>
      <c r="R393" s="17" t="str">
        <f aca="false">IF(HOUR(E393)&lt;6,"Madrugada (0-5 h)",IF(HOUR(E393)&lt;12,"Mañana (6-11 h)",IF(HOUR(E393)&lt;18,"Tarde (12-17 h)","Noche (18-23 h)")))</f>
        <v>Madrugada (0-5 h)</v>
      </c>
    </row>
    <row r="394" customFormat="false" ht="15" hidden="false" customHeight="false" outlineLevel="0" collapsed="false">
      <c r="A394" s="17" t="n">
        <v>1393</v>
      </c>
      <c r="B394" s="17" t="n">
        <v>22</v>
      </c>
      <c r="C394" s="17" t="n">
        <v>1</v>
      </c>
      <c r="D394" s="17" t="n">
        <v>2022</v>
      </c>
      <c r="E394" s="18" t="n">
        <v>0.79837962962963</v>
      </c>
      <c r="F394" s="17" t="n">
        <v>4640</v>
      </c>
      <c r="G394" s="17" t="s">
        <v>380</v>
      </c>
      <c r="H394" s="17" t="s">
        <v>333</v>
      </c>
      <c r="I394" s="17" t="s">
        <v>381</v>
      </c>
      <c r="J394" s="17" t="s">
        <v>382</v>
      </c>
      <c r="K394" s="17" t="n">
        <v>8</v>
      </c>
      <c r="L394" s="17" t="s">
        <v>81</v>
      </c>
      <c r="M394" s="17" t="s">
        <v>76</v>
      </c>
      <c r="N394" s="19" t="n">
        <v>5.23</v>
      </c>
      <c r="O394" s="19" t="n">
        <v>41.84</v>
      </c>
      <c r="P394" s="17" t="s">
        <v>33</v>
      </c>
      <c r="Q394" s="20" t="n">
        <f aca="false">DATE(D394,C394,B394)</f>
        <v>44583</v>
      </c>
      <c r="R394" s="17" t="str">
        <f aca="false">IF(HOUR(E394)&lt;6,"Madrugada (0-5 h)",IF(HOUR(E394)&lt;12,"Mañana (6-11 h)",IF(HOUR(E394)&lt;18,"Tarde (12-17 h)","Noche (18-23 h)")))</f>
        <v>Noche (18-23 h)</v>
      </c>
    </row>
    <row r="395" customFormat="false" ht="15" hidden="false" customHeight="false" outlineLevel="0" collapsed="false">
      <c r="A395" s="17" t="n">
        <v>1394</v>
      </c>
      <c r="B395" s="17" t="n">
        <v>23</v>
      </c>
      <c r="C395" s="17" t="n">
        <v>1</v>
      </c>
      <c r="D395" s="17" t="n">
        <v>2022</v>
      </c>
      <c r="E395" s="18" t="n">
        <v>0.629502314814815</v>
      </c>
      <c r="F395" s="17" t="n">
        <v>4879</v>
      </c>
      <c r="G395" s="17" t="s">
        <v>383</v>
      </c>
      <c r="H395" s="17" t="s">
        <v>384</v>
      </c>
      <c r="I395" s="17" t="s">
        <v>385</v>
      </c>
      <c r="J395" s="17" t="s">
        <v>386</v>
      </c>
      <c r="K395" s="17" t="n">
        <v>7</v>
      </c>
      <c r="L395" s="17" t="s">
        <v>31</v>
      </c>
      <c r="M395" s="17" t="s">
        <v>32</v>
      </c>
      <c r="N395" s="19" t="n">
        <v>2.01</v>
      </c>
      <c r="O395" s="19" t="n">
        <v>14.07</v>
      </c>
      <c r="P395" s="17" t="s">
        <v>33</v>
      </c>
      <c r="Q395" s="20" t="n">
        <f aca="false">DATE(D395,C395,B395)</f>
        <v>44584</v>
      </c>
      <c r="R395" s="17" t="str">
        <f aca="false">IF(HOUR(E395)&lt;6,"Madrugada (0-5 h)",IF(HOUR(E395)&lt;12,"Mañana (6-11 h)",IF(HOUR(E395)&lt;18,"Tarde (12-17 h)","Noche (18-23 h)")))</f>
        <v>Tarde (12-17 h)</v>
      </c>
    </row>
    <row r="396" customFormat="false" ht="15" hidden="false" customHeight="false" outlineLevel="0" collapsed="false">
      <c r="A396" s="17" t="n">
        <v>1395</v>
      </c>
      <c r="B396" s="17" t="n">
        <v>26</v>
      </c>
      <c r="C396" s="17" t="n">
        <v>3</v>
      </c>
      <c r="D396" s="17" t="n">
        <v>2022</v>
      </c>
      <c r="E396" s="18" t="n">
        <v>0.407314814814815</v>
      </c>
      <c r="F396" s="17" t="n">
        <v>3246</v>
      </c>
      <c r="G396" s="17" t="s">
        <v>387</v>
      </c>
      <c r="H396" s="17" t="s">
        <v>438</v>
      </c>
      <c r="I396" s="17" t="s">
        <v>389</v>
      </c>
      <c r="J396" s="17" t="s">
        <v>390</v>
      </c>
      <c r="K396" s="17" t="n">
        <v>33</v>
      </c>
      <c r="L396" s="17" t="s">
        <v>61</v>
      </c>
      <c r="M396" s="17" t="s">
        <v>32</v>
      </c>
      <c r="N396" s="19" t="n">
        <v>14.37</v>
      </c>
      <c r="O396" s="19" t="n">
        <v>474.21</v>
      </c>
      <c r="P396" s="17" t="s">
        <v>33</v>
      </c>
      <c r="Q396" s="20" t="n">
        <f aca="false">DATE(D396,C396,B396)</f>
        <v>44646</v>
      </c>
      <c r="R396" s="17" t="str">
        <f aca="false">IF(HOUR(E396)&lt;6,"Madrugada (0-5 h)",IF(HOUR(E396)&lt;12,"Mañana (6-11 h)",IF(HOUR(E396)&lt;18,"Tarde (12-17 h)","Noche (18-23 h)")))</f>
        <v>Mañana (6-11 h)</v>
      </c>
    </row>
    <row r="397" customFormat="false" ht="15" hidden="false" customHeight="false" outlineLevel="0" collapsed="false">
      <c r="A397" s="17" t="n">
        <v>1396</v>
      </c>
      <c r="B397" s="17" t="n">
        <v>10</v>
      </c>
      <c r="C397" s="17" t="n">
        <v>7</v>
      </c>
      <c r="D397" s="17" t="n">
        <v>2022</v>
      </c>
      <c r="E397" s="18" t="n">
        <v>0.940416666666667</v>
      </c>
      <c r="F397" s="17" t="n">
        <v>4336</v>
      </c>
      <c r="G397" s="17" t="s">
        <v>391</v>
      </c>
      <c r="H397" s="17" t="s">
        <v>392</v>
      </c>
      <c r="I397" s="17" t="s">
        <v>393</v>
      </c>
      <c r="J397" s="17" t="s">
        <v>394</v>
      </c>
      <c r="K397" s="17" t="n">
        <v>25</v>
      </c>
      <c r="L397" s="17" t="s">
        <v>61</v>
      </c>
      <c r="M397" s="17" t="s">
        <v>32</v>
      </c>
      <c r="N397" s="19" t="n">
        <v>2.03</v>
      </c>
      <c r="O397" s="19" t="n">
        <v>50.75</v>
      </c>
      <c r="P397" s="17" t="s">
        <v>33</v>
      </c>
      <c r="Q397" s="20" t="n">
        <f aca="false">DATE(D397,C397,B397)</f>
        <v>44752</v>
      </c>
      <c r="R397" s="17" t="str">
        <f aca="false">IF(HOUR(E397)&lt;6,"Madrugada (0-5 h)",IF(HOUR(E397)&lt;12,"Mañana (6-11 h)",IF(HOUR(E397)&lt;18,"Tarde (12-17 h)","Noche (18-23 h)")))</f>
        <v>Noche (18-23 h)</v>
      </c>
    </row>
    <row r="398" customFormat="false" ht="15" hidden="false" customHeight="false" outlineLevel="0" collapsed="false">
      <c r="A398" s="17" t="n">
        <v>1397</v>
      </c>
      <c r="B398" s="17" t="n">
        <v>4</v>
      </c>
      <c r="C398" s="17" t="n">
        <v>11</v>
      </c>
      <c r="D398" s="17" t="n">
        <v>2022</v>
      </c>
      <c r="E398" s="18" t="n">
        <v>0.230578703703704</v>
      </c>
      <c r="F398" s="17" t="n">
        <v>4750</v>
      </c>
      <c r="G398" s="17" t="s">
        <v>395</v>
      </c>
      <c r="H398" s="17" t="s">
        <v>396</v>
      </c>
      <c r="I398" s="17" t="s">
        <v>397</v>
      </c>
      <c r="J398" s="17" t="s">
        <v>398</v>
      </c>
      <c r="K398" s="17" t="n">
        <v>38</v>
      </c>
      <c r="L398" s="17" t="s">
        <v>61</v>
      </c>
      <c r="M398" s="17" t="s">
        <v>32</v>
      </c>
      <c r="N398" s="19" t="n">
        <v>16.45</v>
      </c>
      <c r="O398" s="19" t="n">
        <v>625.1</v>
      </c>
      <c r="P398" s="17" t="s">
        <v>33</v>
      </c>
      <c r="Q398" s="20" t="n">
        <f aca="false">DATE(D398,C398,B398)</f>
        <v>44869</v>
      </c>
      <c r="R398" s="17" t="str">
        <f aca="false">IF(HOUR(E398)&lt;6,"Madrugada (0-5 h)",IF(HOUR(E398)&lt;12,"Mañana (6-11 h)",IF(HOUR(E398)&lt;18,"Tarde (12-17 h)","Noche (18-23 h)")))</f>
        <v>Madrugada (0-5 h)</v>
      </c>
    </row>
    <row r="399" customFormat="false" ht="15" hidden="false" customHeight="false" outlineLevel="0" collapsed="false">
      <c r="A399" s="17" t="n">
        <v>1398</v>
      </c>
      <c r="B399" s="17" t="n">
        <v>20</v>
      </c>
      <c r="C399" s="17" t="n">
        <v>10</v>
      </c>
      <c r="D399" s="17" t="n">
        <v>2022</v>
      </c>
      <c r="E399" s="18" t="n">
        <v>0.459039351851852</v>
      </c>
      <c r="F399" s="17" t="n">
        <v>2044</v>
      </c>
      <c r="G399" s="17" t="s">
        <v>399</v>
      </c>
      <c r="H399" s="17" t="s">
        <v>400</v>
      </c>
      <c r="I399" s="17" t="s">
        <v>401</v>
      </c>
      <c r="J399" s="17" t="s">
        <v>402</v>
      </c>
      <c r="K399" s="17" t="n">
        <v>6</v>
      </c>
      <c r="L399" s="17" t="s">
        <v>98</v>
      </c>
      <c r="M399" s="17" t="s">
        <v>32</v>
      </c>
      <c r="N399" s="19" t="n">
        <v>15.52</v>
      </c>
      <c r="O399" s="19" t="n">
        <v>93.12</v>
      </c>
      <c r="P399" s="17" t="s">
        <v>43</v>
      </c>
      <c r="Q399" s="20" t="n">
        <f aca="false">DATE(D399,C399,B399)</f>
        <v>44854</v>
      </c>
      <c r="R399" s="17" t="str">
        <f aca="false">IF(HOUR(E399)&lt;6,"Madrugada (0-5 h)",IF(HOUR(E399)&lt;12,"Mañana (6-11 h)",IF(HOUR(E399)&lt;18,"Tarde (12-17 h)","Noche (18-23 h)")))</f>
        <v>Mañana (6-11 h)</v>
      </c>
    </row>
    <row r="400" customFormat="false" ht="15" hidden="false" customHeight="false" outlineLevel="0" collapsed="false">
      <c r="A400" s="17" t="n">
        <v>1399</v>
      </c>
      <c r="B400" s="17" t="n">
        <v>3</v>
      </c>
      <c r="C400" s="17" t="n">
        <v>9</v>
      </c>
      <c r="D400" s="17" t="n">
        <v>2022</v>
      </c>
      <c r="E400" s="18" t="n">
        <v>0.57744212962963</v>
      </c>
      <c r="F400" s="17" t="n">
        <v>4646</v>
      </c>
      <c r="G400" s="17" t="s">
        <v>403</v>
      </c>
      <c r="H400" s="17" t="s">
        <v>404</v>
      </c>
      <c r="I400" s="17" t="s">
        <v>405</v>
      </c>
      <c r="J400" s="17" t="s">
        <v>406</v>
      </c>
      <c r="K400" s="17" t="n">
        <v>29</v>
      </c>
      <c r="L400" s="17" t="s">
        <v>31</v>
      </c>
      <c r="M400" s="17" t="s">
        <v>333</v>
      </c>
      <c r="N400" s="19" t="n">
        <v>5.98</v>
      </c>
      <c r="O400" s="19" t="n">
        <v>173.42</v>
      </c>
      <c r="P400" s="17" t="s">
        <v>43</v>
      </c>
      <c r="Q400" s="20" t="n">
        <f aca="false">DATE(D400,C400,B400)</f>
        <v>44807</v>
      </c>
      <c r="R400" s="17" t="str">
        <f aca="false">IF(HOUR(E400)&lt;6,"Madrugada (0-5 h)",IF(HOUR(E400)&lt;12,"Mañana (6-11 h)",IF(HOUR(E400)&lt;18,"Tarde (12-17 h)","Noche (18-23 h)")))</f>
        <v>Tarde (12-17 h)</v>
      </c>
    </row>
    <row r="401" customFormat="false" ht="15" hidden="false" customHeight="false" outlineLevel="0" collapsed="false">
      <c r="A401" s="17" t="n">
        <v>1400</v>
      </c>
      <c r="B401" s="17" t="n">
        <v>23</v>
      </c>
      <c r="C401" s="17" t="n">
        <v>3</v>
      </c>
      <c r="D401" s="17" t="n">
        <v>2022</v>
      </c>
      <c r="E401" s="18" t="n">
        <v>0.989583333333333</v>
      </c>
      <c r="F401" s="17" t="n">
        <v>2108</v>
      </c>
      <c r="G401" s="17" t="s">
        <v>407</v>
      </c>
      <c r="H401" s="17" t="s">
        <v>408</v>
      </c>
      <c r="I401" s="17" t="s">
        <v>409</v>
      </c>
      <c r="J401" s="17" t="s">
        <v>410</v>
      </c>
      <c r="K401" s="17" t="n">
        <v>12</v>
      </c>
      <c r="L401" s="17" t="s">
        <v>81</v>
      </c>
      <c r="M401" s="17" t="s">
        <v>333</v>
      </c>
      <c r="N401" s="19" t="n">
        <v>0.5</v>
      </c>
      <c r="O401" s="19" t="n">
        <v>6</v>
      </c>
      <c r="P401" s="17" t="s">
        <v>33</v>
      </c>
      <c r="Q401" s="20" t="n">
        <f aca="false">DATE(D401,C401,B401)</f>
        <v>44643</v>
      </c>
      <c r="R401" s="17" t="str">
        <f aca="false">IF(HOUR(E401)&lt;6,"Madrugada (0-5 h)",IF(HOUR(E401)&lt;12,"Mañana (6-11 h)",IF(HOUR(E401)&lt;18,"Tarde (12-17 h)","Noche (18-23 h)")))</f>
        <v>Noche (18-23 h)</v>
      </c>
    </row>
    <row r="402" customFormat="false" ht="15" hidden="false" customHeight="false" outlineLevel="0" collapsed="false">
      <c r="A402" s="17" t="n">
        <v>1401</v>
      </c>
      <c r="B402" s="17" t="n">
        <v>5</v>
      </c>
      <c r="C402" s="17" t="n">
        <v>1</v>
      </c>
      <c r="D402" s="17" t="n">
        <v>2021</v>
      </c>
      <c r="E402" s="18" t="n">
        <v>0.794675925925926</v>
      </c>
      <c r="F402" s="17" t="n">
        <v>2013</v>
      </c>
      <c r="G402" s="17" t="s">
        <v>27</v>
      </c>
      <c r="H402" s="17" t="s">
        <v>28</v>
      </c>
      <c r="I402" s="17" t="s">
        <v>29</v>
      </c>
      <c r="J402" s="17" t="s">
        <v>30</v>
      </c>
      <c r="K402" s="17" t="n">
        <v>36</v>
      </c>
      <c r="L402" s="17" t="s">
        <v>31</v>
      </c>
      <c r="M402" s="17" t="s">
        <v>32</v>
      </c>
      <c r="N402" s="19" t="n">
        <v>3.56</v>
      </c>
      <c r="O402" s="19" t="n">
        <v>128.16</v>
      </c>
      <c r="P402" s="17" t="s">
        <v>33</v>
      </c>
      <c r="Q402" s="20" t="n">
        <f aca="false">DATE(D402,C402,B402)</f>
        <v>44201</v>
      </c>
      <c r="R402" s="17" t="str">
        <f aca="false">IF(HOUR(E402)&lt;6,"Madrugada (0-5 h)",IF(HOUR(E402)&lt;12,"Mañana (6-11 h)",IF(HOUR(E402)&lt;18,"Tarde (12-17 h)","Noche (18-23 h)")))</f>
        <v>Noche (18-23 h)</v>
      </c>
    </row>
    <row r="403" customFormat="false" ht="15" hidden="false" customHeight="false" outlineLevel="0" collapsed="false">
      <c r="A403" s="17" t="n">
        <v>1402</v>
      </c>
      <c r="B403" s="17" t="n">
        <v>3</v>
      </c>
      <c r="C403" s="17" t="n">
        <v>10</v>
      </c>
      <c r="D403" s="17" t="n">
        <v>2021</v>
      </c>
      <c r="E403" s="18" t="n">
        <v>0.13005787037037</v>
      </c>
      <c r="F403" s="17" t="n">
        <v>3411</v>
      </c>
      <c r="G403" s="17" t="s">
        <v>34</v>
      </c>
      <c r="H403" s="17" t="s">
        <v>35</v>
      </c>
      <c r="I403" s="17" t="s">
        <v>36</v>
      </c>
      <c r="J403" s="17" t="s">
        <v>37</v>
      </c>
      <c r="K403" s="17" t="n">
        <v>14</v>
      </c>
      <c r="L403" s="17" t="s">
        <v>31</v>
      </c>
      <c r="M403" s="17" t="s">
        <v>32</v>
      </c>
      <c r="N403" s="19" t="n">
        <v>3.21</v>
      </c>
      <c r="O403" s="19" t="n">
        <v>44.94</v>
      </c>
      <c r="P403" s="17" t="s">
        <v>33</v>
      </c>
      <c r="Q403" s="20" t="n">
        <f aca="false">DATE(D403,C403,B403)</f>
        <v>44472</v>
      </c>
      <c r="R403" s="17" t="str">
        <f aca="false">IF(HOUR(E403)&lt;6,"Madrugada (0-5 h)",IF(HOUR(E403)&lt;12,"Mañana (6-11 h)",IF(HOUR(E403)&lt;18,"Tarde (12-17 h)","Noche (18-23 h)")))</f>
        <v>Madrugada (0-5 h)</v>
      </c>
    </row>
    <row r="404" customFormat="false" ht="15" hidden="false" customHeight="false" outlineLevel="0" collapsed="false">
      <c r="A404" s="17" t="n">
        <v>1403</v>
      </c>
      <c r="B404" s="17" t="n">
        <v>14</v>
      </c>
      <c r="C404" s="17" t="n">
        <v>1</v>
      </c>
      <c r="D404" s="17" t="n">
        <v>2022</v>
      </c>
      <c r="E404" s="18" t="n">
        <v>0.17912037037037</v>
      </c>
      <c r="F404" s="17" t="n">
        <v>4332</v>
      </c>
      <c r="G404" s="17" t="s">
        <v>38</v>
      </c>
      <c r="H404" s="17" t="s">
        <v>439</v>
      </c>
      <c r="I404" s="17" t="s">
        <v>40</v>
      </c>
      <c r="J404" s="17" t="s">
        <v>41</v>
      </c>
      <c r="K404" s="17" t="n">
        <v>6</v>
      </c>
      <c r="L404" s="17" t="s">
        <v>42</v>
      </c>
      <c r="M404" s="17" t="s">
        <v>32</v>
      </c>
      <c r="N404" s="19" t="n">
        <v>12.36</v>
      </c>
      <c r="O404" s="19" t="n">
        <v>74.16</v>
      </c>
      <c r="P404" s="17" t="s">
        <v>43</v>
      </c>
      <c r="Q404" s="20" t="n">
        <f aca="false">DATE(D404,C404,B404)</f>
        <v>44575</v>
      </c>
      <c r="R404" s="17" t="str">
        <f aca="false">IF(HOUR(E404)&lt;6,"Madrugada (0-5 h)",IF(HOUR(E404)&lt;12,"Mañana (6-11 h)",IF(HOUR(E404)&lt;18,"Tarde (12-17 h)","Noche (18-23 h)")))</f>
        <v>Madrugada (0-5 h)</v>
      </c>
    </row>
    <row r="405" customFormat="false" ht="15" hidden="false" customHeight="false" outlineLevel="0" collapsed="false">
      <c r="A405" s="17" t="n">
        <v>1404</v>
      </c>
      <c r="B405" s="17" t="n">
        <v>9</v>
      </c>
      <c r="C405" s="17" t="n">
        <v>7</v>
      </c>
      <c r="D405" s="17" t="n">
        <v>2021</v>
      </c>
      <c r="E405" s="18" t="n">
        <v>0.553553240740741</v>
      </c>
      <c r="F405" s="17" t="n">
        <v>4941</v>
      </c>
      <c r="G405" s="17" t="s">
        <v>44</v>
      </c>
      <c r="H405" s="17" t="s">
        <v>45</v>
      </c>
      <c r="I405" s="17" t="s">
        <v>46</v>
      </c>
      <c r="J405" s="17" t="s">
        <v>47</v>
      </c>
      <c r="K405" s="17" t="n">
        <v>13</v>
      </c>
      <c r="L405" s="17" t="s">
        <v>31</v>
      </c>
      <c r="M405" s="17" t="s">
        <v>48</v>
      </c>
      <c r="N405" s="19" t="n">
        <v>10.03</v>
      </c>
      <c r="O405" s="19" t="n">
        <v>130.39</v>
      </c>
      <c r="P405" s="17" t="s">
        <v>33</v>
      </c>
      <c r="Q405" s="20" t="n">
        <f aca="false">DATE(D405,C405,B405)</f>
        <v>44386</v>
      </c>
      <c r="R405" s="17" t="str">
        <f aca="false">IF(HOUR(E405)&lt;6,"Madrugada (0-5 h)",IF(HOUR(E405)&lt;12,"Mañana (6-11 h)",IF(HOUR(E405)&lt;18,"Tarde (12-17 h)","Noche (18-23 h)")))</f>
        <v>Tarde (12-17 h)</v>
      </c>
    </row>
    <row r="406" customFormat="false" ht="15" hidden="false" customHeight="false" outlineLevel="0" collapsed="false">
      <c r="A406" s="17" t="n">
        <v>1405</v>
      </c>
      <c r="B406" s="17" t="n">
        <v>15</v>
      </c>
      <c r="C406" s="17" t="n">
        <v>3</v>
      </c>
      <c r="D406" s="17" t="n">
        <v>2021</v>
      </c>
      <c r="E406" s="18" t="n">
        <v>0.0954050925925926</v>
      </c>
      <c r="F406" s="17" t="n">
        <v>3156</v>
      </c>
      <c r="G406" s="17" t="s">
        <v>49</v>
      </c>
      <c r="H406" s="17" t="s">
        <v>50</v>
      </c>
      <c r="I406" s="17" t="s">
        <v>51</v>
      </c>
      <c r="J406" s="17" t="s">
        <v>52</v>
      </c>
      <c r="K406" s="17" t="n">
        <v>46</v>
      </c>
      <c r="L406" s="17" t="s">
        <v>31</v>
      </c>
      <c r="M406" s="17" t="s">
        <v>48</v>
      </c>
      <c r="N406" s="19" t="n">
        <v>16.05</v>
      </c>
      <c r="O406" s="19" t="n">
        <v>738.3</v>
      </c>
      <c r="P406" s="17" t="s">
        <v>33</v>
      </c>
      <c r="Q406" s="20" t="n">
        <f aca="false">DATE(D406,C406,B406)</f>
        <v>44270</v>
      </c>
      <c r="R406" s="17" t="str">
        <f aca="false">IF(HOUR(E406)&lt;6,"Madrugada (0-5 h)",IF(HOUR(E406)&lt;12,"Mañana (6-11 h)",IF(HOUR(E406)&lt;18,"Tarde (12-17 h)","Noche (18-23 h)")))</f>
        <v>Madrugada (0-5 h)</v>
      </c>
    </row>
    <row r="407" customFormat="false" ht="15" hidden="false" customHeight="false" outlineLevel="0" collapsed="false">
      <c r="A407" s="17" t="n">
        <v>1406</v>
      </c>
      <c r="B407" s="17" t="n">
        <v>17</v>
      </c>
      <c r="C407" s="17" t="n">
        <v>9</v>
      </c>
      <c r="D407" s="17" t="n">
        <v>2022</v>
      </c>
      <c r="E407" s="18" t="n">
        <v>0.775173611111111</v>
      </c>
      <c r="F407" s="17" t="n">
        <v>2081</v>
      </c>
      <c r="G407" s="17" t="s">
        <v>53</v>
      </c>
      <c r="H407" s="17" t="s">
        <v>54</v>
      </c>
      <c r="I407" s="17" t="s">
        <v>55</v>
      </c>
      <c r="J407" s="17" t="s">
        <v>56</v>
      </c>
      <c r="K407" s="17" t="n">
        <v>17</v>
      </c>
      <c r="L407" s="17" t="s">
        <v>31</v>
      </c>
      <c r="M407" s="17" t="s">
        <v>48</v>
      </c>
      <c r="N407" s="19" t="n">
        <v>16.5</v>
      </c>
      <c r="O407" s="19" t="n">
        <v>280.5</v>
      </c>
      <c r="P407" s="17" t="s">
        <v>33</v>
      </c>
      <c r="Q407" s="20" t="n">
        <f aca="false">DATE(D407,C407,B407)</f>
        <v>44821</v>
      </c>
      <c r="R407" s="17" t="str">
        <f aca="false">IF(HOUR(E407)&lt;6,"Madrugada (0-5 h)",IF(HOUR(E407)&lt;12,"Mañana (6-11 h)",IF(HOUR(E407)&lt;18,"Tarde (12-17 h)","Noche (18-23 h)")))</f>
        <v>Noche (18-23 h)</v>
      </c>
    </row>
    <row r="408" customFormat="false" ht="15" hidden="false" customHeight="false" outlineLevel="0" collapsed="false">
      <c r="A408" s="17" t="n">
        <v>1407</v>
      </c>
      <c r="B408" s="17" t="n">
        <v>18</v>
      </c>
      <c r="C408" s="17" t="n">
        <v>6</v>
      </c>
      <c r="D408" s="17" t="n">
        <v>2021</v>
      </c>
      <c r="E408" s="18" t="n">
        <v>0.949293981481482</v>
      </c>
      <c r="F408" s="17" t="n">
        <v>4404</v>
      </c>
      <c r="G408" s="17" t="s">
        <v>57</v>
      </c>
      <c r="H408" s="17" t="s">
        <v>58</v>
      </c>
      <c r="I408" s="17" t="s">
        <v>59</v>
      </c>
      <c r="J408" s="17" t="s">
        <v>60</v>
      </c>
      <c r="K408" s="17" t="n">
        <v>42</v>
      </c>
      <c r="L408" s="17" t="s">
        <v>61</v>
      </c>
      <c r="M408" s="17" t="s">
        <v>62</v>
      </c>
      <c r="N408" s="19" t="n">
        <v>4.13</v>
      </c>
      <c r="O408" s="19" t="n">
        <v>173.46</v>
      </c>
      <c r="P408" s="17" t="s">
        <v>43</v>
      </c>
      <c r="Q408" s="20" t="n">
        <f aca="false">DATE(D408,C408,B408)</f>
        <v>44365</v>
      </c>
      <c r="R408" s="17" t="str">
        <f aca="false">IF(HOUR(E408)&lt;6,"Madrugada (0-5 h)",IF(HOUR(E408)&lt;12,"Mañana (6-11 h)",IF(HOUR(E408)&lt;18,"Tarde (12-17 h)","Noche (18-23 h)")))</f>
        <v>Noche (18-23 h)</v>
      </c>
    </row>
    <row r="409" customFormat="false" ht="15" hidden="false" customHeight="false" outlineLevel="0" collapsed="false">
      <c r="A409" s="17" t="n">
        <v>1408</v>
      </c>
      <c r="B409" s="17" t="n">
        <v>10</v>
      </c>
      <c r="C409" s="17" t="n">
        <v>3</v>
      </c>
      <c r="D409" s="17" t="n">
        <v>2021</v>
      </c>
      <c r="E409" s="18" t="n">
        <v>0.371342592592593</v>
      </c>
      <c r="F409" s="17" t="n">
        <v>2984</v>
      </c>
      <c r="G409" s="17" t="s">
        <v>63</v>
      </c>
      <c r="H409" s="17" t="s">
        <v>64</v>
      </c>
      <c r="I409" s="17" t="s">
        <v>65</v>
      </c>
      <c r="J409" s="17" t="s">
        <v>66</v>
      </c>
      <c r="K409" s="17" t="n">
        <v>42</v>
      </c>
      <c r="L409" s="17" t="s">
        <v>61</v>
      </c>
      <c r="M409" s="17" t="s">
        <v>32</v>
      </c>
      <c r="N409" s="19" t="n">
        <v>11.5</v>
      </c>
      <c r="O409" s="19" t="n">
        <v>483</v>
      </c>
      <c r="P409" s="17" t="s">
        <v>33</v>
      </c>
      <c r="Q409" s="20" t="n">
        <f aca="false">DATE(D409,C409,B409)</f>
        <v>44265</v>
      </c>
      <c r="R409" s="17" t="str">
        <f aca="false">IF(HOUR(E409)&lt;6,"Madrugada (0-5 h)",IF(HOUR(E409)&lt;12,"Mañana (6-11 h)",IF(HOUR(E409)&lt;18,"Tarde (12-17 h)","Noche (18-23 h)")))</f>
        <v>Mañana (6-11 h)</v>
      </c>
    </row>
    <row r="410" customFormat="false" ht="15" hidden="false" customHeight="false" outlineLevel="0" collapsed="false">
      <c r="A410" s="17" t="n">
        <v>1409</v>
      </c>
      <c r="B410" s="17" t="n">
        <v>26</v>
      </c>
      <c r="C410" s="17" t="n">
        <v>11</v>
      </c>
      <c r="D410" s="17" t="n">
        <v>2022</v>
      </c>
      <c r="E410" s="18" t="n">
        <v>0.158402777777778</v>
      </c>
      <c r="F410" s="17" t="n">
        <v>4714</v>
      </c>
      <c r="G410" s="17" t="s">
        <v>67</v>
      </c>
      <c r="H410" s="17" t="s">
        <v>68</v>
      </c>
      <c r="I410" s="17" t="s">
        <v>69</v>
      </c>
      <c r="J410" s="17" t="s">
        <v>70</v>
      </c>
      <c r="K410" s="17" t="n">
        <v>10</v>
      </c>
      <c r="L410" s="17" t="s">
        <v>31</v>
      </c>
      <c r="M410" s="17" t="s">
        <v>71</v>
      </c>
      <c r="N410" s="19" t="n">
        <v>5.5</v>
      </c>
      <c r="O410" s="19" t="n">
        <v>55</v>
      </c>
      <c r="P410" s="17" t="s">
        <v>33</v>
      </c>
      <c r="Q410" s="20" t="n">
        <f aca="false">DATE(D410,C410,B410)</f>
        <v>44891</v>
      </c>
      <c r="R410" s="17" t="str">
        <f aca="false">IF(HOUR(E410)&lt;6,"Madrugada (0-5 h)",IF(HOUR(E410)&lt;12,"Mañana (6-11 h)",IF(HOUR(E410)&lt;18,"Tarde (12-17 h)","Noche (18-23 h)")))</f>
        <v>Madrugada (0-5 h)</v>
      </c>
    </row>
    <row r="411" customFormat="false" ht="15" hidden="false" customHeight="false" outlineLevel="0" collapsed="false">
      <c r="A411" s="17" t="n">
        <v>1410</v>
      </c>
      <c r="B411" s="17" t="n">
        <v>5</v>
      </c>
      <c r="C411" s="17" t="n">
        <v>4</v>
      </c>
      <c r="D411" s="17" t="n">
        <v>2021</v>
      </c>
      <c r="E411" s="18" t="n">
        <v>0.933564814814815</v>
      </c>
      <c r="F411" s="17" t="n">
        <v>1686</v>
      </c>
      <c r="G411" s="17" t="s">
        <v>72</v>
      </c>
      <c r="H411" s="17" t="s">
        <v>73</v>
      </c>
      <c r="I411" s="17" t="s">
        <v>74</v>
      </c>
      <c r="J411" s="17" t="s">
        <v>75</v>
      </c>
      <c r="K411" s="17" t="n">
        <v>10</v>
      </c>
      <c r="L411" s="17" t="s">
        <v>61</v>
      </c>
      <c r="M411" s="17" t="s">
        <v>76</v>
      </c>
      <c r="N411" s="19" t="n">
        <v>13.71</v>
      </c>
      <c r="O411" s="19" t="n">
        <v>137.1</v>
      </c>
      <c r="P411" s="17" t="s">
        <v>33</v>
      </c>
      <c r="Q411" s="20" t="n">
        <f aca="false">DATE(D411,C411,B411)</f>
        <v>44291</v>
      </c>
      <c r="R411" s="17" t="str">
        <f aca="false">IF(HOUR(E411)&lt;6,"Madrugada (0-5 h)",IF(HOUR(E411)&lt;12,"Mañana (6-11 h)",IF(HOUR(E411)&lt;18,"Tarde (12-17 h)","Noche (18-23 h)")))</f>
        <v>Noche (18-23 h)</v>
      </c>
    </row>
    <row r="412" customFormat="false" ht="15" hidden="false" customHeight="false" outlineLevel="0" collapsed="false">
      <c r="A412" s="17" t="n">
        <v>1411</v>
      </c>
      <c r="B412" s="17" t="n">
        <v>26</v>
      </c>
      <c r="C412" s="17" t="n">
        <v>12</v>
      </c>
      <c r="D412" s="17" t="n">
        <v>2021</v>
      </c>
      <c r="E412" s="18" t="n">
        <v>0.907361111111111</v>
      </c>
      <c r="F412" s="17" t="n">
        <v>2273</v>
      </c>
      <c r="G412" s="17" t="s">
        <v>77</v>
      </c>
      <c r="H412" s="17" t="s">
        <v>78</v>
      </c>
      <c r="I412" s="17" t="s">
        <v>79</v>
      </c>
      <c r="J412" s="17" t="s">
        <v>80</v>
      </c>
      <c r="K412" s="17" t="n">
        <v>3</v>
      </c>
      <c r="L412" s="17" t="s">
        <v>412</v>
      </c>
      <c r="M412" s="17" t="s">
        <v>82</v>
      </c>
      <c r="N412" s="19" t="n">
        <v>7.89</v>
      </c>
      <c r="O412" s="19" t="n">
        <v>23.67</v>
      </c>
      <c r="P412" s="17" t="s">
        <v>33</v>
      </c>
      <c r="Q412" s="20" t="n">
        <f aca="false">DATE(D412,C412,B412)</f>
        <v>44556</v>
      </c>
      <c r="R412" s="17" t="str">
        <f aca="false">IF(HOUR(E412)&lt;6,"Madrugada (0-5 h)",IF(HOUR(E412)&lt;12,"Mañana (6-11 h)",IF(HOUR(E412)&lt;18,"Tarde (12-17 h)","Noche (18-23 h)")))</f>
        <v>Noche (18-23 h)</v>
      </c>
    </row>
    <row r="413" customFormat="false" ht="15" hidden="false" customHeight="false" outlineLevel="0" collapsed="false">
      <c r="A413" s="17" t="n">
        <v>1412</v>
      </c>
      <c r="B413" s="17" t="n">
        <v>20</v>
      </c>
      <c r="C413" s="17" t="n">
        <v>12</v>
      </c>
      <c r="D413" s="17" t="n">
        <v>2022</v>
      </c>
      <c r="E413" s="18" t="n">
        <v>0.0209027777777778</v>
      </c>
      <c r="F413" s="17" t="n">
        <v>3263</v>
      </c>
      <c r="G413" s="17" t="s">
        <v>83</v>
      </c>
      <c r="H413" s="17" t="s">
        <v>84</v>
      </c>
      <c r="I413" s="17" t="s">
        <v>85</v>
      </c>
      <c r="J413" s="17" t="s">
        <v>86</v>
      </c>
      <c r="K413" s="17" t="n">
        <v>39</v>
      </c>
      <c r="L413" s="17" t="s">
        <v>42</v>
      </c>
      <c r="M413" s="17" t="s">
        <v>32</v>
      </c>
      <c r="N413" s="19" t="n">
        <v>6</v>
      </c>
      <c r="O413" s="19" t="n">
        <v>234</v>
      </c>
      <c r="P413" s="17" t="s">
        <v>43</v>
      </c>
      <c r="Q413" s="20" t="n">
        <f aca="false">DATE(D413,C413,B413)</f>
        <v>44915</v>
      </c>
      <c r="R413" s="17" t="str">
        <f aca="false">IF(HOUR(E413)&lt;6,"Madrugada (0-5 h)",IF(HOUR(E413)&lt;12,"Mañana (6-11 h)",IF(HOUR(E413)&lt;18,"Tarde (12-17 h)","Noche (18-23 h)")))</f>
        <v>Madrugada (0-5 h)</v>
      </c>
    </row>
    <row r="414" customFormat="false" ht="15" hidden="false" customHeight="false" outlineLevel="0" collapsed="false">
      <c r="A414" s="17" t="n">
        <v>1413</v>
      </c>
      <c r="B414" s="17" t="n">
        <v>21</v>
      </c>
      <c r="C414" s="17" t="n">
        <v>10</v>
      </c>
      <c r="D414" s="17" t="n">
        <v>2022</v>
      </c>
      <c r="E414" s="18" t="n">
        <v>0.845081018518519</v>
      </c>
      <c r="F414" s="17" t="n">
        <v>3359</v>
      </c>
      <c r="G414" s="17" t="s">
        <v>87</v>
      </c>
      <c r="H414" s="17" t="s">
        <v>88</v>
      </c>
      <c r="I414" s="17" t="s">
        <v>89</v>
      </c>
      <c r="J414" s="17" t="s">
        <v>90</v>
      </c>
      <c r="K414" s="17" t="n">
        <v>29</v>
      </c>
      <c r="L414" s="17" t="s">
        <v>31</v>
      </c>
      <c r="M414" s="17" t="s">
        <v>48</v>
      </c>
      <c r="N414" s="19" t="n">
        <v>13.54</v>
      </c>
      <c r="O414" s="19" t="n">
        <v>392.66</v>
      </c>
      <c r="P414" s="17" t="s">
        <v>33</v>
      </c>
      <c r="Q414" s="20" t="n">
        <f aca="false">DATE(D414,C414,B414)</f>
        <v>44855</v>
      </c>
      <c r="R414" s="17" t="str">
        <f aca="false">IF(HOUR(E414)&lt;6,"Madrugada (0-5 h)",IF(HOUR(E414)&lt;12,"Mañana (6-11 h)",IF(HOUR(E414)&lt;18,"Tarde (12-17 h)","Noche (18-23 h)")))</f>
        <v>Noche (18-23 h)</v>
      </c>
    </row>
    <row r="415" customFormat="false" ht="15" hidden="false" customHeight="false" outlineLevel="0" collapsed="false">
      <c r="A415" s="17" t="n">
        <v>1414</v>
      </c>
      <c r="B415" s="17" t="n">
        <v>5</v>
      </c>
      <c r="C415" s="17" t="n">
        <v>3</v>
      </c>
      <c r="D415" s="17" t="n">
        <v>2021</v>
      </c>
      <c r="E415" s="18" t="n">
        <v>0.132083333333333</v>
      </c>
      <c r="F415" s="17" t="n">
        <v>2237</v>
      </c>
      <c r="G415" s="17" t="s">
        <v>91</v>
      </c>
      <c r="H415" s="17" t="s">
        <v>92</v>
      </c>
      <c r="I415" s="17" t="s">
        <v>93</v>
      </c>
      <c r="J415" s="17" t="s">
        <v>94</v>
      </c>
      <c r="K415" s="17" t="n">
        <v>12</v>
      </c>
      <c r="L415" s="17" t="s">
        <v>61</v>
      </c>
      <c r="M415" s="17" t="s">
        <v>32</v>
      </c>
      <c r="N415" s="19" t="n">
        <v>4.12</v>
      </c>
      <c r="O415" s="19" t="n">
        <v>49.44</v>
      </c>
      <c r="P415" s="17" t="s">
        <v>33</v>
      </c>
      <c r="Q415" s="20" t="n">
        <f aca="false">DATE(D415,C415,B415)</f>
        <v>44260</v>
      </c>
      <c r="R415" s="17" t="str">
        <f aca="false">IF(HOUR(E415)&lt;6,"Madrugada (0-5 h)",IF(HOUR(E415)&lt;12,"Mañana (6-11 h)",IF(HOUR(E415)&lt;18,"Tarde (12-17 h)","Noche (18-23 h)")))</f>
        <v>Madrugada (0-5 h)</v>
      </c>
    </row>
    <row r="416" customFormat="false" ht="15" hidden="false" customHeight="false" outlineLevel="0" collapsed="false">
      <c r="A416" s="17" t="n">
        <v>1415</v>
      </c>
      <c r="B416" s="17" t="n">
        <v>20</v>
      </c>
      <c r="C416" s="17" t="n">
        <v>12</v>
      </c>
      <c r="D416" s="17" t="n">
        <v>2021</v>
      </c>
      <c r="E416" s="18" t="n">
        <v>0.784166666666667</v>
      </c>
      <c r="F416" s="17" t="n">
        <v>1740</v>
      </c>
      <c r="G416" s="17" t="s">
        <v>95</v>
      </c>
      <c r="H416" s="17" t="s">
        <v>96</v>
      </c>
      <c r="I416" s="17" t="s">
        <v>97</v>
      </c>
      <c r="J416" s="17" t="s">
        <v>97</v>
      </c>
      <c r="K416" s="17" t="n">
        <v>29</v>
      </c>
      <c r="L416" s="17" t="s">
        <v>98</v>
      </c>
      <c r="M416" s="17" t="s">
        <v>48</v>
      </c>
      <c r="N416" s="19" t="n">
        <v>4.33</v>
      </c>
      <c r="O416" s="19" t="n">
        <v>125.57</v>
      </c>
      <c r="P416" s="17" t="s">
        <v>33</v>
      </c>
      <c r="Q416" s="20" t="n">
        <f aca="false">DATE(D416,C416,B416)</f>
        <v>44550</v>
      </c>
      <c r="R416" s="17" t="str">
        <f aca="false">IF(HOUR(E416)&lt;6,"Madrugada (0-5 h)",IF(HOUR(E416)&lt;12,"Mañana (6-11 h)",IF(HOUR(E416)&lt;18,"Tarde (12-17 h)","Noche (18-23 h)")))</f>
        <v>Noche (18-23 h)</v>
      </c>
    </row>
    <row r="417" customFormat="false" ht="15" hidden="false" customHeight="false" outlineLevel="0" collapsed="false">
      <c r="A417" s="17" t="n">
        <v>1416</v>
      </c>
      <c r="B417" s="17" t="n">
        <v>22</v>
      </c>
      <c r="C417" s="17" t="n">
        <v>7</v>
      </c>
      <c r="D417" s="17" t="n">
        <v>2021</v>
      </c>
      <c r="E417" s="18" t="n">
        <v>0.491944444444445</v>
      </c>
      <c r="F417" s="17" t="n">
        <v>3550</v>
      </c>
      <c r="G417" s="17" t="s">
        <v>99</v>
      </c>
      <c r="H417" s="17" t="s">
        <v>100</v>
      </c>
      <c r="I417" s="17" t="s">
        <v>101</v>
      </c>
      <c r="J417" s="17" t="s">
        <v>102</v>
      </c>
      <c r="K417" s="17" t="n">
        <v>27</v>
      </c>
      <c r="L417" s="17" t="s">
        <v>103</v>
      </c>
      <c r="M417" s="17" t="s">
        <v>32</v>
      </c>
      <c r="N417" s="19" t="n">
        <v>6.97</v>
      </c>
      <c r="O417" s="19" t="n">
        <v>188.19</v>
      </c>
      <c r="P417" s="17" t="s">
        <v>43</v>
      </c>
      <c r="Q417" s="20" t="n">
        <f aca="false">DATE(D417,C417,B417)</f>
        <v>44399</v>
      </c>
      <c r="R417" s="17" t="str">
        <f aca="false">IF(HOUR(E417)&lt;6,"Madrugada (0-5 h)",IF(HOUR(E417)&lt;12,"Mañana (6-11 h)",IF(HOUR(E417)&lt;18,"Tarde (12-17 h)","Noche (18-23 h)")))</f>
        <v>Mañana (6-11 h)</v>
      </c>
    </row>
    <row r="418" customFormat="false" ht="15" hidden="false" customHeight="false" outlineLevel="0" collapsed="false">
      <c r="A418" s="17" t="n">
        <v>1417</v>
      </c>
      <c r="B418" s="17" t="n">
        <v>5</v>
      </c>
      <c r="C418" s="17" t="n">
        <v>2</v>
      </c>
      <c r="D418" s="17" t="n">
        <v>2021</v>
      </c>
      <c r="E418" s="18" t="n">
        <v>0.99537037037037</v>
      </c>
      <c r="F418" s="17" t="n">
        <v>1535</v>
      </c>
      <c r="G418" s="17" t="s">
        <v>104</v>
      </c>
      <c r="H418" s="17" t="s">
        <v>105</v>
      </c>
      <c r="I418" s="17" t="s">
        <v>106</v>
      </c>
      <c r="J418" s="17" t="s">
        <v>107</v>
      </c>
      <c r="K418" s="17" t="n">
        <v>49</v>
      </c>
      <c r="L418" s="17" t="s">
        <v>31</v>
      </c>
      <c r="M418" s="17" t="s">
        <v>32</v>
      </c>
      <c r="N418" s="19" t="n">
        <v>4.45</v>
      </c>
      <c r="O418" s="19" t="n">
        <v>218.05</v>
      </c>
      <c r="P418" s="17" t="s">
        <v>33</v>
      </c>
      <c r="Q418" s="20" t="n">
        <f aca="false">DATE(D418,C418,B418)</f>
        <v>44232</v>
      </c>
      <c r="R418" s="17" t="str">
        <f aca="false">IF(HOUR(E418)&lt;6,"Madrugada (0-5 h)",IF(HOUR(E418)&lt;12,"Mañana (6-11 h)",IF(HOUR(E418)&lt;18,"Tarde (12-17 h)","Noche (18-23 h)")))</f>
        <v>Noche (18-23 h)</v>
      </c>
    </row>
    <row r="419" customFormat="false" ht="15" hidden="false" customHeight="false" outlineLevel="0" collapsed="false">
      <c r="A419" s="17" t="n">
        <v>1418</v>
      </c>
      <c r="B419" s="17" t="n">
        <v>28</v>
      </c>
      <c r="C419" s="17" t="n">
        <v>2</v>
      </c>
      <c r="D419" s="17" t="n">
        <v>2021</v>
      </c>
      <c r="E419" s="18" t="n">
        <v>0.696273148148148</v>
      </c>
      <c r="F419" s="17" t="n">
        <v>1334</v>
      </c>
      <c r="G419" s="17" t="s">
        <v>108</v>
      </c>
      <c r="H419" s="17" t="s">
        <v>109</v>
      </c>
      <c r="I419" s="17" t="s">
        <v>110</v>
      </c>
      <c r="J419" s="17" t="s">
        <v>111</v>
      </c>
      <c r="K419" s="17" t="n">
        <v>12</v>
      </c>
      <c r="L419" s="17" t="s">
        <v>81</v>
      </c>
      <c r="M419" s="17" t="s">
        <v>82</v>
      </c>
      <c r="N419" s="19" t="n">
        <v>6.5</v>
      </c>
      <c r="O419" s="19" t="n">
        <v>78</v>
      </c>
      <c r="P419" s="17" t="s">
        <v>43</v>
      </c>
      <c r="Q419" s="20" t="n">
        <f aca="false">DATE(D419,C419,B419)</f>
        <v>44255</v>
      </c>
      <c r="R419" s="17" t="str">
        <f aca="false">IF(HOUR(E419)&lt;6,"Madrugada (0-5 h)",IF(HOUR(E419)&lt;12,"Mañana (6-11 h)",IF(HOUR(E419)&lt;18,"Tarde (12-17 h)","Noche (18-23 h)")))</f>
        <v>Tarde (12-17 h)</v>
      </c>
    </row>
    <row r="420" customFormat="false" ht="15" hidden="false" customHeight="false" outlineLevel="0" collapsed="false">
      <c r="A420" s="17" t="n">
        <v>1419</v>
      </c>
      <c r="B420" s="17" t="n">
        <v>25</v>
      </c>
      <c r="C420" s="17" t="n">
        <v>2</v>
      </c>
      <c r="D420" s="17" t="n">
        <v>2021</v>
      </c>
      <c r="E420" s="18" t="n">
        <v>0.503969907407407</v>
      </c>
      <c r="F420" s="17" t="n">
        <v>2862</v>
      </c>
      <c r="G420" s="17" t="s">
        <v>112</v>
      </c>
      <c r="H420" s="17" t="s">
        <v>113</v>
      </c>
      <c r="I420" s="17" t="s">
        <v>114</v>
      </c>
      <c r="J420" s="17" t="s">
        <v>115</v>
      </c>
      <c r="K420" s="17" t="n">
        <v>26</v>
      </c>
      <c r="L420" s="17" t="s">
        <v>81</v>
      </c>
      <c r="M420" s="17" t="s">
        <v>116</v>
      </c>
      <c r="N420" s="19" t="n">
        <v>4.86</v>
      </c>
      <c r="O420" s="19" t="n">
        <v>126.36</v>
      </c>
      <c r="P420" s="17" t="s">
        <v>33</v>
      </c>
      <c r="Q420" s="20" t="n">
        <f aca="false">DATE(D420,C420,B420)</f>
        <v>44252</v>
      </c>
      <c r="R420" s="17" t="str">
        <f aca="false">IF(HOUR(E420)&lt;6,"Madrugada (0-5 h)",IF(HOUR(E420)&lt;12,"Mañana (6-11 h)",IF(HOUR(E420)&lt;18,"Tarde (12-17 h)","Noche (18-23 h)")))</f>
        <v>Tarde (12-17 h)</v>
      </c>
    </row>
    <row r="421" customFormat="false" ht="15" hidden="false" customHeight="false" outlineLevel="0" collapsed="false">
      <c r="A421" s="17" t="n">
        <v>1420</v>
      </c>
      <c r="B421" s="17" t="n">
        <v>25</v>
      </c>
      <c r="C421" s="17" t="n">
        <v>7</v>
      </c>
      <c r="D421" s="17" t="n">
        <v>2021</v>
      </c>
      <c r="E421" s="18" t="n">
        <v>0.211168981481482</v>
      </c>
      <c r="F421" s="17" t="n">
        <v>1326</v>
      </c>
      <c r="G421" s="17" t="s">
        <v>117</v>
      </c>
      <c r="H421" s="17" t="s">
        <v>118</v>
      </c>
      <c r="I421" s="17" t="s">
        <v>119</v>
      </c>
      <c r="J421" s="17" t="s">
        <v>115</v>
      </c>
      <c r="K421" s="17" t="n">
        <v>8</v>
      </c>
      <c r="L421" s="17" t="s">
        <v>81</v>
      </c>
      <c r="M421" s="17" t="s">
        <v>120</v>
      </c>
      <c r="N421" s="19" t="n">
        <v>3.54</v>
      </c>
      <c r="O421" s="19" t="n">
        <v>28.32</v>
      </c>
      <c r="P421" s="17" t="s">
        <v>33</v>
      </c>
      <c r="Q421" s="20" t="n">
        <f aca="false">DATE(D421,C421,B421)</f>
        <v>44402</v>
      </c>
      <c r="R421" s="17" t="str">
        <f aca="false">IF(HOUR(E421)&lt;6,"Madrugada (0-5 h)",IF(HOUR(E421)&lt;12,"Mañana (6-11 h)",IF(HOUR(E421)&lt;18,"Tarde (12-17 h)","Noche (18-23 h)")))</f>
        <v>Madrugada (0-5 h)</v>
      </c>
    </row>
    <row r="422" customFormat="false" ht="15" hidden="false" customHeight="false" outlineLevel="0" collapsed="false">
      <c r="A422" s="17" t="n">
        <v>1421</v>
      </c>
      <c r="B422" s="17" t="n">
        <v>19</v>
      </c>
      <c r="C422" s="17" t="n">
        <v>4</v>
      </c>
      <c r="D422" s="17" t="n">
        <v>2021</v>
      </c>
      <c r="E422" s="18" t="n">
        <v>0.815949074074074</v>
      </c>
      <c r="F422" s="17" t="n">
        <v>4648</v>
      </c>
      <c r="G422" s="17" t="s">
        <v>121</v>
      </c>
      <c r="H422" s="17" t="s">
        <v>122</v>
      </c>
      <c r="I422" s="17" t="s">
        <v>123</v>
      </c>
      <c r="J422" s="17" t="s">
        <v>124</v>
      </c>
      <c r="K422" s="17" t="n">
        <v>3</v>
      </c>
      <c r="L422" s="17" t="s">
        <v>125</v>
      </c>
      <c r="M422" s="17" t="s">
        <v>76</v>
      </c>
      <c r="N422" s="19" t="n">
        <v>7</v>
      </c>
      <c r="O422" s="19" t="n">
        <v>21</v>
      </c>
      <c r="P422" s="17" t="s">
        <v>33</v>
      </c>
      <c r="Q422" s="20" t="n">
        <f aca="false">DATE(D422,C422,B422)</f>
        <v>44305</v>
      </c>
      <c r="R422" s="17" t="str">
        <f aca="false">IF(HOUR(E422)&lt;6,"Madrugada (0-5 h)",IF(HOUR(E422)&lt;12,"Mañana (6-11 h)",IF(HOUR(E422)&lt;18,"Tarde (12-17 h)","Noche (18-23 h)")))</f>
        <v>Noche (18-23 h)</v>
      </c>
    </row>
    <row r="423" customFormat="false" ht="15" hidden="false" customHeight="false" outlineLevel="0" collapsed="false">
      <c r="A423" s="17" t="n">
        <v>1422</v>
      </c>
      <c r="B423" s="17" t="n">
        <v>5</v>
      </c>
      <c r="C423" s="17" t="n">
        <v>4</v>
      </c>
      <c r="D423" s="17" t="n">
        <v>2022</v>
      </c>
      <c r="E423" s="18" t="n">
        <v>0.228298611111111</v>
      </c>
      <c r="F423" s="17" t="n">
        <v>2039</v>
      </c>
      <c r="G423" s="17" t="s">
        <v>126</v>
      </c>
      <c r="H423" s="17" t="s">
        <v>127</v>
      </c>
      <c r="I423" s="17" t="s">
        <v>128</v>
      </c>
      <c r="J423" s="17" t="s">
        <v>129</v>
      </c>
      <c r="K423" s="17" t="n">
        <v>47</v>
      </c>
      <c r="L423" s="17" t="s">
        <v>98</v>
      </c>
      <c r="M423" s="17" t="s">
        <v>62</v>
      </c>
      <c r="N423" s="19" t="n">
        <v>3.05</v>
      </c>
      <c r="O423" s="19" t="n">
        <v>143.35</v>
      </c>
      <c r="P423" s="17" t="s">
        <v>33</v>
      </c>
      <c r="Q423" s="20" t="n">
        <f aca="false">DATE(D423,C423,B423)</f>
        <v>44656</v>
      </c>
      <c r="R423" s="17" t="str">
        <f aca="false">IF(HOUR(E423)&lt;6,"Madrugada (0-5 h)",IF(HOUR(E423)&lt;12,"Mañana (6-11 h)",IF(HOUR(E423)&lt;18,"Tarde (12-17 h)","Noche (18-23 h)")))</f>
        <v>Madrugada (0-5 h)</v>
      </c>
    </row>
    <row r="424" customFormat="false" ht="15" hidden="false" customHeight="false" outlineLevel="0" collapsed="false">
      <c r="A424" s="17" t="n">
        <v>1423</v>
      </c>
      <c r="B424" s="17" t="n">
        <v>14</v>
      </c>
      <c r="C424" s="17" t="n">
        <v>2</v>
      </c>
      <c r="D424" s="17" t="n">
        <v>2022</v>
      </c>
      <c r="E424" s="18" t="n">
        <v>0.35787037037037</v>
      </c>
      <c r="F424" s="17" t="n">
        <v>1128</v>
      </c>
      <c r="G424" s="17" t="s">
        <v>130</v>
      </c>
      <c r="H424" s="17" t="s">
        <v>131</v>
      </c>
      <c r="I424" s="17" t="s">
        <v>132</v>
      </c>
      <c r="J424" s="17" t="s">
        <v>129</v>
      </c>
      <c r="K424" s="17" t="n">
        <v>21</v>
      </c>
      <c r="L424" s="17" t="s">
        <v>98</v>
      </c>
      <c r="M424" s="17" t="s">
        <v>62</v>
      </c>
      <c r="N424" s="19" t="n">
        <v>4.57</v>
      </c>
      <c r="O424" s="19" t="n">
        <v>95.97</v>
      </c>
      <c r="P424" s="17" t="s">
        <v>33</v>
      </c>
      <c r="Q424" s="20" t="n">
        <f aca="false">DATE(D424,C424,B424)</f>
        <v>44606</v>
      </c>
      <c r="R424" s="17" t="str">
        <f aca="false">IF(HOUR(E424)&lt;6,"Madrugada (0-5 h)",IF(HOUR(E424)&lt;12,"Mañana (6-11 h)",IF(HOUR(E424)&lt;18,"Tarde (12-17 h)","Noche (18-23 h)")))</f>
        <v>Mañana (6-11 h)</v>
      </c>
    </row>
    <row r="425" customFormat="false" ht="15" hidden="false" customHeight="false" outlineLevel="0" collapsed="false">
      <c r="A425" s="17" t="n">
        <v>1424</v>
      </c>
      <c r="B425" s="17" t="n">
        <v>22</v>
      </c>
      <c r="C425" s="17" t="n">
        <v>12</v>
      </c>
      <c r="D425" s="17" t="n">
        <v>2022</v>
      </c>
      <c r="E425" s="18" t="n">
        <v>0.996122685185185</v>
      </c>
      <c r="F425" s="17" t="n">
        <v>1107</v>
      </c>
      <c r="G425" s="17" t="s">
        <v>133</v>
      </c>
      <c r="H425" s="17" t="s">
        <v>134</v>
      </c>
      <c r="I425" s="17" t="s">
        <v>135</v>
      </c>
      <c r="J425" s="17" t="s">
        <v>136</v>
      </c>
      <c r="K425" s="17" t="n">
        <v>2</v>
      </c>
      <c r="L425" s="17" t="s">
        <v>81</v>
      </c>
      <c r="M425" s="17" t="s">
        <v>76</v>
      </c>
      <c r="N425" s="19" t="n">
        <v>9.89</v>
      </c>
      <c r="O425" s="19" t="n">
        <v>19.78</v>
      </c>
      <c r="P425" s="17" t="s">
        <v>33</v>
      </c>
      <c r="Q425" s="20" t="n">
        <f aca="false">DATE(D425,C425,B425)</f>
        <v>44917</v>
      </c>
      <c r="R425" s="17" t="str">
        <f aca="false">IF(HOUR(E425)&lt;6,"Madrugada (0-5 h)",IF(HOUR(E425)&lt;12,"Mañana (6-11 h)",IF(HOUR(E425)&lt;18,"Tarde (12-17 h)","Noche (18-23 h)")))</f>
        <v>Noche (18-23 h)</v>
      </c>
    </row>
    <row r="426" customFormat="false" ht="15" hidden="false" customHeight="false" outlineLevel="0" collapsed="false">
      <c r="A426" s="17" t="n">
        <v>1425</v>
      </c>
      <c r="B426" s="17" t="n">
        <v>9</v>
      </c>
      <c r="C426" s="17" t="n">
        <v>5</v>
      </c>
      <c r="D426" s="17" t="n">
        <v>2021</v>
      </c>
      <c r="E426" s="18" t="n">
        <v>0.233900462962963</v>
      </c>
      <c r="F426" s="17" t="n">
        <v>4167</v>
      </c>
      <c r="G426" s="17" t="s">
        <v>137</v>
      </c>
      <c r="H426" s="21" t="s">
        <v>440</v>
      </c>
      <c r="I426" s="17" t="s">
        <v>139</v>
      </c>
      <c r="J426" s="17" t="s">
        <v>140</v>
      </c>
      <c r="K426" s="17" t="n">
        <v>48</v>
      </c>
      <c r="L426" s="17" t="s">
        <v>31</v>
      </c>
      <c r="M426" s="17" t="s">
        <v>32</v>
      </c>
      <c r="N426" s="19" t="n">
        <v>3.44</v>
      </c>
      <c r="O426" s="19" t="n">
        <v>165.12</v>
      </c>
      <c r="P426" s="17" t="s">
        <v>43</v>
      </c>
      <c r="Q426" s="20" t="n">
        <f aca="false">DATE(D426,C426,B426)</f>
        <v>44325</v>
      </c>
      <c r="R426" s="17" t="str">
        <f aca="false">IF(HOUR(E426)&lt;6,"Madrugada (0-5 h)",IF(HOUR(E426)&lt;12,"Mañana (6-11 h)",IF(HOUR(E426)&lt;18,"Tarde (12-17 h)","Noche (18-23 h)")))</f>
        <v>Madrugada (0-5 h)</v>
      </c>
    </row>
    <row r="427" customFormat="false" ht="15" hidden="false" customHeight="false" outlineLevel="0" collapsed="false">
      <c r="A427" s="17" t="n">
        <v>1426</v>
      </c>
      <c r="B427" s="17" t="n">
        <v>11</v>
      </c>
      <c r="C427" s="17" t="n">
        <v>4</v>
      </c>
      <c r="D427" s="17" t="n">
        <v>2021</v>
      </c>
      <c r="E427" s="18" t="n">
        <v>0.87380787037037</v>
      </c>
      <c r="F427" s="17" t="n">
        <v>2682</v>
      </c>
      <c r="G427" s="17" t="s">
        <v>141</v>
      </c>
      <c r="H427" s="17" t="s">
        <v>142</v>
      </c>
      <c r="I427" s="17" t="s">
        <v>143</v>
      </c>
      <c r="J427" s="17" t="s">
        <v>144</v>
      </c>
      <c r="K427" s="17" t="n">
        <v>43</v>
      </c>
      <c r="L427" s="17" t="s">
        <v>42</v>
      </c>
      <c r="M427" s="17" t="s">
        <v>48</v>
      </c>
      <c r="N427" s="19" t="n">
        <v>8.88</v>
      </c>
      <c r="O427" s="19" t="n">
        <v>381.84</v>
      </c>
      <c r="P427" s="17" t="s">
        <v>33</v>
      </c>
      <c r="Q427" s="20" t="n">
        <f aca="false">DATE(D427,C427,B427)</f>
        <v>44297</v>
      </c>
      <c r="R427" s="17" t="str">
        <f aca="false">IF(HOUR(E427)&lt;6,"Madrugada (0-5 h)",IF(HOUR(E427)&lt;12,"Mañana (6-11 h)",IF(HOUR(E427)&lt;18,"Tarde (12-17 h)","Noche (18-23 h)")))</f>
        <v>Noche (18-23 h)</v>
      </c>
    </row>
    <row r="428" customFormat="false" ht="15" hidden="false" customHeight="false" outlineLevel="0" collapsed="false">
      <c r="A428" s="17" t="n">
        <v>1427</v>
      </c>
      <c r="B428" s="17" t="n">
        <v>21</v>
      </c>
      <c r="C428" s="17" t="n">
        <v>12</v>
      </c>
      <c r="D428" s="17" t="n">
        <v>2022</v>
      </c>
      <c r="E428" s="18" t="n">
        <v>0.339722222222222</v>
      </c>
      <c r="F428" s="17" t="n">
        <v>4895</v>
      </c>
      <c r="G428" s="17" t="s">
        <v>145</v>
      </c>
      <c r="H428" s="17" t="s">
        <v>146</v>
      </c>
      <c r="I428" s="17" t="s">
        <v>147</v>
      </c>
      <c r="J428" s="17" t="s">
        <v>148</v>
      </c>
      <c r="K428" s="17" t="n">
        <v>1</v>
      </c>
      <c r="L428" s="17" t="s">
        <v>42</v>
      </c>
      <c r="M428" s="17" t="s">
        <v>48</v>
      </c>
      <c r="N428" s="19" t="n">
        <v>15.87</v>
      </c>
      <c r="O428" s="19" t="n">
        <v>15.87</v>
      </c>
      <c r="P428" s="17" t="s">
        <v>33</v>
      </c>
      <c r="Q428" s="20" t="n">
        <f aca="false">DATE(D428,C428,B428)</f>
        <v>44916</v>
      </c>
      <c r="R428" s="17" t="str">
        <f aca="false">IF(HOUR(E428)&lt;6,"Madrugada (0-5 h)",IF(HOUR(E428)&lt;12,"Mañana (6-11 h)",IF(HOUR(E428)&lt;18,"Tarde (12-17 h)","Noche (18-23 h)")))</f>
        <v>Mañana (6-11 h)</v>
      </c>
    </row>
    <row r="429" customFormat="false" ht="15" hidden="false" customHeight="false" outlineLevel="0" collapsed="false">
      <c r="A429" s="17" t="n">
        <v>1428</v>
      </c>
      <c r="B429" s="17" t="n">
        <v>15</v>
      </c>
      <c r="C429" s="17" t="n">
        <v>2</v>
      </c>
      <c r="D429" s="17" t="n">
        <v>2021</v>
      </c>
      <c r="E429" s="18" t="n">
        <v>0.883912037037037</v>
      </c>
      <c r="F429" s="17" t="n">
        <v>3432</v>
      </c>
      <c r="G429" s="17" t="s">
        <v>149</v>
      </c>
      <c r="H429" s="17" t="s">
        <v>150</v>
      </c>
      <c r="I429" s="17" t="s">
        <v>151</v>
      </c>
      <c r="J429" s="17" t="s">
        <v>152</v>
      </c>
      <c r="K429" s="17" t="n">
        <v>23</v>
      </c>
      <c r="L429" s="17" t="s">
        <v>42</v>
      </c>
      <c r="M429" s="17" t="s">
        <v>32</v>
      </c>
      <c r="N429" s="19" t="n">
        <v>13.04</v>
      </c>
      <c r="O429" s="19" t="n">
        <v>299.92</v>
      </c>
      <c r="P429" s="17" t="s">
        <v>33</v>
      </c>
      <c r="Q429" s="20" t="n">
        <f aca="false">DATE(D429,C429,B429)</f>
        <v>44242</v>
      </c>
      <c r="R429" s="17" t="str">
        <f aca="false">IF(HOUR(E429)&lt;6,"Madrugada (0-5 h)",IF(HOUR(E429)&lt;12,"Mañana (6-11 h)",IF(HOUR(E429)&lt;18,"Tarde (12-17 h)","Noche (18-23 h)")))</f>
        <v>Noche (18-23 h)</v>
      </c>
    </row>
    <row r="430" customFormat="false" ht="15" hidden="false" customHeight="false" outlineLevel="0" collapsed="false">
      <c r="A430" s="17" t="n">
        <v>1429</v>
      </c>
      <c r="B430" s="17" t="n">
        <v>23</v>
      </c>
      <c r="C430" s="17" t="n">
        <v>11</v>
      </c>
      <c r="D430" s="17" t="n">
        <v>2021</v>
      </c>
      <c r="E430" s="18" t="n">
        <v>0.273576388888889</v>
      </c>
      <c r="F430" s="17" t="n">
        <v>1276</v>
      </c>
      <c r="G430" s="17" t="s">
        <v>153</v>
      </c>
      <c r="H430" s="17" t="s">
        <v>154</v>
      </c>
      <c r="I430" s="17" t="s">
        <v>155</v>
      </c>
      <c r="J430" s="17" t="s">
        <v>155</v>
      </c>
      <c r="K430" s="17" t="n">
        <v>28</v>
      </c>
      <c r="L430" s="17" t="s">
        <v>42</v>
      </c>
      <c r="M430" s="17" t="s">
        <v>32</v>
      </c>
      <c r="N430" s="19" t="n">
        <v>9.31</v>
      </c>
      <c r="O430" s="19" t="n">
        <v>260.68</v>
      </c>
      <c r="P430" s="17" t="s">
        <v>43</v>
      </c>
      <c r="Q430" s="20" t="n">
        <f aca="false">DATE(D430,C430,B430)</f>
        <v>44523</v>
      </c>
      <c r="R430" s="17" t="str">
        <f aca="false">IF(HOUR(E430)&lt;6,"Madrugada (0-5 h)",IF(HOUR(E430)&lt;12,"Mañana (6-11 h)",IF(HOUR(E430)&lt;18,"Tarde (12-17 h)","Noche (18-23 h)")))</f>
        <v>Mañana (6-11 h)</v>
      </c>
    </row>
    <row r="431" customFormat="false" ht="15" hidden="false" customHeight="false" outlineLevel="0" collapsed="false">
      <c r="A431" s="17" t="n">
        <v>1430</v>
      </c>
      <c r="B431" s="17" t="n">
        <v>11</v>
      </c>
      <c r="C431" s="17" t="n">
        <v>2</v>
      </c>
      <c r="D431" s="17" t="n">
        <v>2021</v>
      </c>
      <c r="E431" s="18" t="n">
        <v>0.762199074074074</v>
      </c>
      <c r="F431" s="17" t="n">
        <v>3121</v>
      </c>
      <c r="G431" s="17" t="s">
        <v>156</v>
      </c>
      <c r="H431" s="17" t="s">
        <v>157</v>
      </c>
      <c r="I431" s="17" t="s">
        <v>158</v>
      </c>
      <c r="J431" s="17" t="s">
        <v>159</v>
      </c>
      <c r="K431" s="17" t="n">
        <v>35</v>
      </c>
      <c r="L431" s="17" t="s">
        <v>125</v>
      </c>
      <c r="M431" s="17" t="s">
        <v>82</v>
      </c>
      <c r="N431" s="19" t="n">
        <v>8.51</v>
      </c>
      <c r="O431" s="19" t="n">
        <v>297.85</v>
      </c>
      <c r="P431" s="17" t="s">
        <v>33</v>
      </c>
      <c r="Q431" s="20" t="n">
        <f aca="false">DATE(D431,C431,B431)</f>
        <v>44238</v>
      </c>
      <c r="R431" s="17" t="str">
        <f aca="false">IF(HOUR(E431)&lt;6,"Madrugada (0-5 h)",IF(HOUR(E431)&lt;12,"Mañana (6-11 h)",IF(HOUR(E431)&lt;18,"Tarde (12-17 h)","Noche (18-23 h)")))</f>
        <v>Noche (18-23 h)</v>
      </c>
    </row>
    <row r="432" customFormat="false" ht="15" hidden="false" customHeight="false" outlineLevel="0" collapsed="false">
      <c r="A432" s="17" t="n">
        <v>1431</v>
      </c>
      <c r="B432" s="17" t="n">
        <v>21</v>
      </c>
      <c r="C432" s="17" t="n">
        <v>4</v>
      </c>
      <c r="D432" s="17" t="n">
        <v>2021</v>
      </c>
      <c r="E432" s="18" t="n">
        <v>0.270706018518519</v>
      </c>
      <c r="F432" s="17" t="n">
        <v>2048</v>
      </c>
      <c r="G432" s="17" t="s">
        <v>160</v>
      </c>
      <c r="H432" s="17" t="s">
        <v>161</v>
      </c>
      <c r="I432" s="17" t="s">
        <v>162</v>
      </c>
      <c r="J432" s="17" t="s">
        <v>163</v>
      </c>
      <c r="K432" s="17" t="n">
        <v>15</v>
      </c>
      <c r="L432" s="17" t="s">
        <v>42</v>
      </c>
      <c r="M432" s="17" t="s">
        <v>76</v>
      </c>
      <c r="N432" s="19" t="n">
        <v>15.63</v>
      </c>
      <c r="O432" s="19" t="n">
        <v>234.45</v>
      </c>
      <c r="P432" s="17" t="s">
        <v>33</v>
      </c>
      <c r="Q432" s="20" t="n">
        <f aca="false">DATE(D432,C432,B432)</f>
        <v>44307</v>
      </c>
      <c r="R432" s="17" t="str">
        <f aca="false">IF(HOUR(E432)&lt;6,"Madrugada (0-5 h)",IF(HOUR(E432)&lt;12,"Mañana (6-11 h)",IF(HOUR(E432)&lt;18,"Tarde (12-17 h)","Noche (18-23 h)")))</f>
        <v>Mañana (6-11 h)</v>
      </c>
    </row>
    <row r="433" customFormat="false" ht="15" hidden="false" customHeight="false" outlineLevel="0" collapsed="false">
      <c r="A433" s="17" t="n">
        <v>1432</v>
      </c>
      <c r="B433" s="17" t="n">
        <v>22</v>
      </c>
      <c r="C433" s="17" t="n">
        <v>8</v>
      </c>
      <c r="D433" s="17" t="n">
        <v>2022</v>
      </c>
      <c r="E433" s="18" t="n">
        <v>0.0956481481481482</v>
      </c>
      <c r="F433" s="17" t="n">
        <v>3881</v>
      </c>
      <c r="G433" s="17" t="s">
        <v>164</v>
      </c>
      <c r="H433" s="17" t="s">
        <v>165</v>
      </c>
      <c r="I433" s="17" t="s">
        <v>166</v>
      </c>
      <c r="J433" s="17" t="s">
        <v>167</v>
      </c>
      <c r="K433" s="17" t="n">
        <v>34</v>
      </c>
      <c r="L433" s="17" t="s">
        <v>81</v>
      </c>
      <c r="M433" s="17" t="s">
        <v>82</v>
      </c>
      <c r="N433" s="19" t="n">
        <v>6.99</v>
      </c>
      <c r="O433" s="19" t="n">
        <v>237.66</v>
      </c>
      <c r="P433" s="17" t="s">
        <v>33</v>
      </c>
      <c r="Q433" s="20" t="n">
        <f aca="false">DATE(D433,C433,B433)</f>
        <v>44795</v>
      </c>
      <c r="R433" s="17" t="str">
        <f aca="false">IF(HOUR(E433)&lt;6,"Madrugada (0-5 h)",IF(HOUR(E433)&lt;12,"Mañana (6-11 h)",IF(HOUR(E433)&lt;18,"Tarde (12-17 h)","Noche (18-23 h)")))</f>
        <v>Madrugada (0-5 h)</v>
      </c>
    </row>
    <row r="434" customFormat="false" ht="15" hidden="false" customHeight="false" outlineLevel="0" collapsed="false">
      <c r="A434" s="17" t="n">
        <v>1433</v>
      </c>
      <c r="B434" s="17" t="n">
        <v>13</v>
      </c>
      <c r="C434" s="17" t="n">
        <v>7</v>
      </c>
      <c r="D434" s="17" t="n">
        <v>2022</v>
      </c>
      <c r="E434" s="18" t="n">
        <v>0.922997685185185</v>
      </c>
      <c r="F434" s="17" t="n">
        <v>2965</v>
      </c>
      <c r="G434" s="17" t="s">
        <v>168</v>
      </c>
      <c r="H434" s="17" t="s">
        <v>169</v>
      </c>
      <c r="I434" s="17" t="s">
        <v>170</v>
      </c>
      <c r="J434" s="17" t="s">
        <v>171</v>
      </c>
      <c r="K434" s="17" t="n">
        <v>40</v>
      </c>
      <c r="L434" s="17" t="s">
        <v>31</v>
      </c>
      <c r="M434" s="17" t="s">
        <v>76</v>
      </c>
      <c r="N434" s="19" t="n">
        <v>6.84</v>
      </c>
      <c r="O434" s="19" t="n">
        <v>273.6</v>
      </c>
      <c r="P434" s="17" t="s">
        <v>33</v>
      </c>
      <c r="Q434" s="20" t="n">
        <f aca="false">DATE(D434,C434,B434)</f>
        <v>44755</v>
      </c>
      <c r="R434" s="17" t="str">
        <f aca="false">IF(HOUR(E434)&lt;6,"Madrugada (0-5 h)",IF(HOUR(E434)&lt;12,"Mañana (6-11 h)",IF(HOUR(E434)&lt;18,"Tarde (12-17 h)","Noche (18-23 h)")))</f>
        <v>Noche (18-23 h)</v>
      </c>
    </row>
    <row r="435" customFormat="false" ht="15" hidden="false" customHeight="false" outlineLevel="0" collapsed="false">
      <c r="A435" s="17" t="n">
        <v>1434</v>
      </c>
      <c r="B435" s="17" t="n">
        <v>17</v>
      </c>
      <c r="C435" s="17" t="n">
        <v>6</v>
      </c>
      <c r="D435" s="17" t="n">
        <v>2021</v>
      </c>
      <c r="E435" s="18" t="n">
        <v>0.984722222222222</v>
      </c>
      <c r="F435" s="17" t="n">
        <v>3333</v>
      </c>
      <c r="G435" s="17" t="s">
        <v>172</v>
      </c>
      <c r="H435" s="17" t="s">
        <v>173</v>
      </c>
      <c r="I435" s="17" t="s">
        <v>174</v>
      </c>
      <c r="J435" s="17" t="s">
        <v>175</v>
      </c>
      <c r="K435" s="17" t="n">
        <v>2</v>
      </c>
      <c r="L435" s="17" t="s">
        <v>31</v>
      </c>
      <c r="M435" s="17" t="s">
        <v>76</v>
      </c>
      <c r="N435" s="19" t="n">
        <v>5.5</v>
      </c>
      <c r="O435" s="19" t="n">
        <v>11</v>
      </c>
      <c r="P435" s="17" t="s">
        <v>33</v>
      </c>
      <c r="Q435" s="20" t="n">
        <f aca="false">DATE(D435,C435,B435)</f>
        <v>44364</v>
      </c>
      <c r="R435" s="17" t="str">
        <f aca="false">IF(HOUR(E435)&lt;6,"Madrugada (0-5 h)",IF(HOUR(E435)&lt;12,"Mañana (6-11 h)",IF(HOUR(E435)&lt;18,"Tarde (12-17 h)","Noche (18-23 h)")))</f>
        <v>Noche (18-23 h)</v>
      </c>
    </row>
    <row r="436" customFormat="false" ht="15" hidden="false" customHeight="false" outlineLevel="0" collapsed="false">
      <c r="A436" s="17" t="n">
        <v>1435</v>
      </c>
      <c r="B436" s="17" t="n">
        <v>25</v>
      </c>
      <c r="C436" s="17" t="n">
        <v>10</v>
      </c>
      <c r="D436" s="17" t="n">
        <v>2021</v>
      </c>
      <c r="E436" s="18" t="n">
        <v>0.301782407407407</v>
      </c>
      <c r="F436" s="17" t="n">
        <v>4834</v>
      </c>
      <c r="G436" s="17" t="s">
        <v>176</v>
      </c>
      <c r="H436" s="17" t="s">
        <v>177</v>
      </c>
      <c r="I436" s="17" t="s">
        <v>178</v>
      </c>
      <c r="J436" s="17" t="s">
        <v>179</v>
      </c>
      <c r="K436" s="17" t="n">
        <v>5</v>
      </c>
      <c r="L436" s="17" t="s">
        <v>31</v>
      </c>
      <c r="M436" s="17" t="s">
        <v>76</v>
      </c>
      <c r="N436" s="19" t="n">
        <v>9.56</v>
      </c>
      <c r="O436" s="19" t="n">
        <v>47.8</v>
      </c>
      <c r="P436" s="17" t="s">
        <v>33</v>
      </c>
      <c r="Q436" s="20" t="n">
        <f aca="false">DATE(D436,C436,B436)</f>
        <v>44494</v>
      </c>
      <c r="R436" s="17" t="str">
        <f aca="false">IF(HOUR(E436)&lt;6,"Madrugada (0-5 h)",IF(HOUR(E436)&lt;12,"Mañana (6-11 h)",IF(HOUR(E436)&lt;18,"Tarde (12-17 h)","Noche (18-23 h)")))</f>
        <v>Mañana (6-11 h)</v>
      </c>
    </row>
    <row r="437" customFormat="false" ht="15" hidden="false" customHeight="false" outlineLevel="0" collapsed="false">
      <c r="A437" s="17" t="n">
        <v>1436</v>
      </c>
      <c r="B437" s="17" t="n">
        <v>3</v>
      </c>
      <c r="C437" s="17" t="n">
        <v>2</v>
      </c>
      <c r="D437" s="17" t="n">
        <v>2021</v>
      </c>
      <c r="E437" s="18" t="n">
        <v>0.419328703703704</v>
      </c>
      <c r="F437" s="17" t="n">
        <v>2527</v>
      </c>
      <c r="G437" s="17" t="s">
        <v>180</v>
      </c>
      <c r="H437" s="17" t="s">
        <v>181</v>
      </c>
      <c r="I437" s="17" t="s">
        <v>182</v>
      </c>
      <c r="J437" s="17" t="s">
        <v>183</v>
      </c>
      <c r="K437" s="17" t="n">
        <v>44</v>
      </c>
      <c r="L437" s="17" t="s">
        <v>31</v>
      </c>
      <c r="M437" s="17" t="s">
        <v>32</v>
      </c>
      <c r="N437" s="19" t="n">
        <v>3.43</v>
      </c>
      <c r="O437" s="19" t="n">
        <v>150.92</v>
      </c>
      <c r="P437" s="17" t="s">
        <v>33</v>
      </c>
      <c r="Q437" s="20" t="n">
        <f aca="false">DATE(D437,C437,B437)</f>
        <v>44230</v>
      </c>
      <c r="R437" s="17" t="str">
        <f aca="false">IF(HOUR(E437)&lt;6,"Madrugada (0-5 h)",IF(HOUR(E437)&lt;12,"Mañana (6-11 h)",IF(HOUR(E437)&lt;18,"Tarde (12-17 h)","Noche (18-23 h)")))</f>
        <v>Mañana (6-11 h)</v>
      </c>
    </row>
    <row r="438" customFormat="false" ht="15" hidden="false" customHeight="false" outlineLevel="0" collapsed="false">
      <c r="A438" s="17" t="n">
        <v>1437</v>
      </c>
      <c r="B438" s="17" t="n">
        <v>6</v>
      </c>
      <c r="C438" s="17" t="n">
        <v>4</v>
      </c>
      <c r="D438" s="17" t="n">
        <v>2021</v>
      </c>
      <c r="E438" s="18" t="n">
        <v>0.565</v>
      </c>
      <c r="F438" s="17" t="n">
        <v>3176</v>
      </c>
      <c r="G438" s="17" t="s">
        <v>184</v>
      </c>
      <c r="H438" s="17" t="s">
        <v>185</v>
      </c>
      <c r="I438" s="17" t="s">
        <v>186</v>
      </c>
      <c r="J438" s="17" t="s">
        <v>187</v>
      </c>
      <c r="K438" s="17" t="n">
        <v>4</v>
      </c>
      <c r="L438" s="17" t="s">
        <v>81</v>
      </c>
      <c r="M438" s="17" t="s">
        <v>82</v>
      </c>
      <c r="N438" s="19" t="n">
        <v>1.23</v>
      </c>
      <c r="O438" s="19" t="n">
        <v>4.92</v>
      </c>
      <c r="P438" s="17" t="s">
        <v>33</v>
      </c>
      <c r="Q438" s="20" t="n">
        <f aca="false">DATE(D438,C438,B438)</f>
        <v>44292</v>
      </c>
      <c r="R438" s="17" t="str">
        <f aca="false">IF(HOUR(E438)&lt;6,"Madrugada (0-5 h)",IF(HOUR(E438)&lt;12,"Mañana (6-11 h)",IF(HOUR(E438)&lt;18,"Tarde (12-17 h)","Noche (18-23 h)")))</f>
        <v>Tarde (12-17 h)</v>
      </c>
    </row>
    <row r="439" customFormat="false" ht="15" hidden="false" customHeight="false" outlineLevel="0" collapsed="false">
      <c r="A439" s="17" t="n">
        <v>1438</v>
      </c>
      <c r="B439" s="17" t="n">
        <v>25</v>
      </c>
      <c r="C439" s="17" t="n">
        <v>9</v>
      </c>
      <c r="D439" s="17" t="n">
        <v>2021</v>
      </c>
      <c r="E439" s="18" t="n">
        <v>0.752141203703704</v>
      </c>
      <c r="F439" s="17" t="n">
        <v>1006</v>
      </c>
      <c r="G439" s="17" t="s">
        <v>188</v>
      </c>
      <c r="H439" s="17" t="s">
        <v>189</v>
      </c>
      <c r="I439" s="17" t="s">
        <v>190</v>
      </c>
      <c r="J439" s="17" t="s">
        <v>191</v>
      </c>
      <c r="K439" s="17" t="n">
        <v>14</v>
      </c>
      <c r="L439" s="17" t="s">
        <v>125</v>
      </c>
      <c r="M439" s="17" t="s">
        <v>76</v>
      </c>
      <c r="N439" s="19" t="n">
        <v>13.55</v>
      </c>
      <c r="O439" s="19" t="n">
        <v>189.7</v>
      </c>
      <c r="P439" s="17" t="s">
        <v>33</v>
      </c>
      <c r="Q439" s="20" t="n">
        <f aca="false">DATE(D439,C439,B439)</f>
        <v>44464</v>
      </c>
      <c r="R439" s="17" t="str">
        <f aca="false">IF(HOUR(E439)&lt;6,"Madrugada (0-5 h)",IF(HOUR(E439)&lt;12,"Mañana (6-11 h)",IF(HOUR(E439)&lt;18,"Tarde (12-17 h)","Noche (18-23 h)")))</f>
        <v>Noche (18-23 h)</v>
      </c>
    </row>
    <row r="440" customFormat="false" ht="15" hidden="false" customHeight="false" outlineLevel="0" collapsed="false">
      <c r="A440" s="17" t="n">
        <v>1439</v>
      </c>
      <c r="B440" s="17" t="n">
        <v>20</v>
      </c>
      <c r="C440" s="17" t="n">
        <v>8</v>
      </c>
      <c r="D440" s="17" t="n">
        <v>2022</v>
      </c>
      <c r="E440" s="18" t="n">
        <v>0.438275462962963</v>
      </c>
      <c r="F440" s="17" t="n">
        <v>4691</v>
      </c>
      <c r="G440" s="17" t="s">
        <v>192</v>
      </c>
      <c r="H440" s="17" t="s">
        <v>193</v>
      </c>
      <c r="I440" s="17" t="s">
        <v>194</v>
      </c>
      <c r="J440" s="17" t="s">
        <v>195</v>
      </c>
      <c r="K440" s="17" t="n">
        <v>25</v>
      </c>
      <c r="L440" s="17" t="s">
        <v>31</v>
      </c>
      <c r="M440" s="17" t="s">
        <v>82</v>
      </c>
      <c r="N440" s="19" t="n">
        <v>6.78</v>
      </c>
      <c r="O440" s="19" t="n">
        <v>169.5</v>
      </c>
      <c r="P440" s="17" t="s">
        <v>33</v>
      </c>
      <c r="Q440" s="20" t="n">
        <f aca="false">DATE(D440,C440,B440)</f>
        <v>44793</v>
      </c>
      <c r="R440" s="17" t="str">
        <f aca="false">IF(HOUR(E440)&lt;6,"Madrugada (0-5 h)",IF(HOUR(E440)&lt;12,"Mañana (6-11 h)",IF(HOUR(E440)&lt;18,"Tarde (12-17 h)","Noche (18-23 h)")))</f>
        <v>Mañana (6-11 h)</v>
      </c>
    </row>
    <row r="441" customFormat="false" ht="15" hidden="false" customHeight="false" outlineLevel="0" collapsed="false">
      <c r="A441" s="17" t="n">
        <v>1440</v>
      </c>
      <c r="B441" s="17" t="n">
        <v>9</v>
      </c>
      <c r="C441" s="17" t="n">
        <v>8</v>
      </c>
      <c r="D441" s="17" t="n">
        <v>2021</v>
      </c>
      <c r="E441" s="18" t="n">
        <v>0.852418981481481</v>
      </c>
      <c r="F441" s="17" t="n">
        <v>3714</v>
      </c>
      <c r="G441" s="17" t="s">
        <v>196</v>
      </c>
      <c r="H441" s="17" t="s">
        <v>197</v>
      </c>
      <c r="I441" s="17" t="s">
        <v>198</v>
      </c>
      <c r="J441" s="17" t="s">
        <v>199</v>
      </c>
      <c r="K441" s="17" t="n">
        <v>19</v>
      </c>
      <c r="L441" s="17" t="s">
        <v>31</v>
      </c>
      <c r="M441" s="17" t="s">
        <v>32</v>
      </c>
      <c r="N441" s="19" t="n">
        <v>8.02</v>
      </c>
      <c r="O441" s="19" t="n">
        <v>152.38</v>
      </c>
      <c r="P441" s="17" t="s">
        <v>33</v>
      </c>
      <c r="Q441" s="20" t="n">
        <f aca="false">DATE(D441,C441,B441)</f>
        <v>44417</v>
      </c>
      <c r="R441" s="17" t="str">
        <f aca="false">IF(HOUR(E441)&lt;6,"Madrugada (0-5 h)",IF(HOUR(E441)&lt;12,"Mañana (6-11 h)",IF(HOUR(E441)&lt;18,"Tarde (12-17 h)","Noche (18-23 h)")))</f>
        <v>Noche (18-23 h)</v>
      </c>
    </row>
    <row r="442" customFormat="false" ht="15" hidden="false" customHeight="false" outlineLevel="0" collapsed="false">
      <c r="A442" s="17" t="n">
        <v>1441</v>
      </c>
      <c r="B442" s="17" t="n">
        <v>5</v>
      </c>
      <c r="C442" s="17" t="n">
        <v>4</v>
      </c>
      <c r="D442" s="17" t="n">
        <v>2022</v>
      </c>
      <c r="E442" s="18" t="n">
        <v>0.293078703703704</v>
      </c>
      <c r="F442" s="17" t="n">
        <v>4964</v>
      </c>
      <c r="G442" s="17" t="s">
        <v>200</v>
      </c>
      <c r="H442" s="17" t="s">
        <v>201</v>
      </c>
      <c r="I442" s="17" t="s">
        <v>113</v>
      </c>
      <c r="J442" s="17" t="s">
        <v>202</v>
      </c>
      <c r="K442" s="17" t="n">
        <v>17</v>
      </c>
      <c r="L442" s="17" t="s">
        <v>31</v>
      </c>
      <c r="M442" s="17" t="s">
        <v>32</v>
      </c>
      <c r="N442" s="19" t="n">
        <v>7.76</v>
      </c>
      <c r="O442" s="19" t="n">
        <v>131.92</v>
      </c>
      <c r="P442" s="17" t="s">
        <v>33</v>
      </c>
      <c r="Q442" s="20" t="n">
        <f aca="false">DATE(D442,C442,B442)</f>
        <v>44656</v>
      </c>
      <c r="R442" s="17" t="str">
        <f aca="false">IF(HOUR(E442)&lt;6,"Madrugada (0-5 h)",IF(HOUR(E442)&lt;12,"Mañana (6-11 h)",IF(HOUR(E442)&lt;18,"Tarde (12-17 h)","Noche (18-23 h)")))</f>
        <v>Mañana (6-11 h)</v>
      </c>
    </row>
    <row r="443" customFormat="false" ht="15" hidden="false" customHeight="false" outlineLevel="0" collapsed="false">
      <c r="A443" s="17" t="n">
        <v>1442</v>
      </c>
      <c r="B443" s="17" t="n">
        <v>15</v>
      </c>
      <c r="C443" s="17" t="n">
        <v>8</v>
      </c>
      <c r="D443" s="17" t="n">
        <v>2022</v>
      </c>
      <c r="E443" s="18" t="n">
        <v>0.66625</v>
      </c>
      <c r="F443" s="17" t="n">
        <v>1837</v>
      </c>
      <c r="G443" s="17" t="s">
        <v>203</v>
      </c>
      <c r="H443" s="17" t="s">
        <v>441</v>
      </c>
      <c r="I443" s="17" t="s">
        <v>205</v>
      </c>
      <c r="J443" s="17" t="s">
        <v>206</v>
      </c>
      <c r="K443" s="17" t="n">
        <v>5</v>
      </c>
      <c r="L443" s="17" t="s">
        <v>42</v>
      </c>
      <c r="M443" s="17" t="s">
        <v>32</v>
      </c>
      <c r="N443" s="19" t="n">
        <v>8.87</v>
      </c>
      <c r="O443" s="19" t="n">
        <v>44.35</v>
      </c>
      <c r="P443" s="17" t="s">
        <v>33</v>
      </c>
      <c r="Q443" s="20" t="n">
        <f aca="false">DATE(D443,C443,B443)</f>
        <v>44788</v>
      </c>
      <c r="R443" s="17" t="str">
        <f aca="false">IF(HOUR(E443)&lt;6,"Madrugada (0-5 h)",IF(HOUR(E443)&lt;12,"Mañana (6-11 h)",IF(HOUR(E443)&lt;18,"Tarde (12-17 h)","Noche (18-23 h)")))</f>
        <v>Tarde (12-17 h)</v>
      </c>
    </row>
    <row r="444" customFormat="false" ht="15" hidden="false" customHeight="false" outlineLevel="0" collapsed="false">
      <c r="A444" s="17" t="n">
        <v>1443</v>
      </c>
      <c r="B444" s="17" t="n">
        <v>13</v>
      </c>
      <c r="C444" s="17" t="n">
        <v>11</v>
      </c>
      <c r="D444" s="17" t="n">
        <v>2021</v>
      </c>
      <c r="E444" s="18" t="n">
        <v>0.121180555555556</v>
      </c>
      <c r="F444" s="17" t="n">
        <v>4039</v>
      </c>
      <c r="G444" s="17" t="s">
        <v>207</v>
      </c>
      <c r="H444" s="17" t="s">
        <v>208</v>
      </c>
      <c r="I444" s="17" t="s">
        <v>209</v>
      </c>
      <c r="J444" s="17" t="s">
        <v>210</v>
      </c>
      <c r="K444" s="17" t="n">
        <v>3</v>
      </c>
      <c r="L444" s="17" t="s">
        <v>31</v>
      </c>
      <c r="M444" s="17" t="s">
        <v>32</v>
      </c>
      <c r="N444" s="19" t="n">
        <v>4.5</v>
      </c>
      <c r="O444" s="19" t="n">
        <v>13.5</v>
      </c>
      <c r="P444" s="17" t="s">
        <v>33</v>
      </c>
      <c r="Q444" s="20" t="n">
        <f aca="false">DATE(D444,C444,B444)</f>
        <v>44513</v>
      </c>
      <c r="R444" s="17" t="str">
        <f aca="false">IF(HOUR(E444)&lt;6,"Madrugada (0-5 h)",IF(HOUR(E444)&lt;12,"Mañana (6-11 h)",IF(HOUR(E444)&lt;18,"Tarde (12-17 h)","Noche (18-23 h)")))</f>
        <v>Madrugada (0-5 h)</v>
      </c>
    </row>
    <row r="445" customFormat="false" ht="15" hidden="false" customHeight="false" outlineLevel="0" collapsed="false">
      <c r="A445" s="17" t="n">
        <v>1444</v>
      </c>
      <c r="B445" s="17" t="n">
        <v>7</v>
      </c>
      <c r="C445" s="17" t="n">
        <v>10</v>
      </c>
      <c r="D445" s="17" t="n">
        <v>2021</v>
      </c>
      <c r="E445" s="18" t="n">
        <v>0.98912037037037</v>
      </c>
      <c r="F445" s="17" t="n">
        <v>2756</v>
      </c>
      <c r="G445" s="17" t="s">
        <v>211</v>
      </c>
      <c r="H445" s="17" t="s">
        <v>212</v>
      </c>
      <c r="I445" s="17" t="s">
        <v>213</v>
      </c>
      <c r="J445" s="17" t="s">
        <v>214</v>
      </c>
      <c r="K445" s="17" t="n">
        <v>34</v>
      </c>
      <c r="L445" s="17" t="s">
        <v>31</v>
      </c>
      <c r="M445" s="17" t="s">
        <v>32</v>
      </c>
      <c r="N445" s="19" t="n">
        <v>8.98</v>
      </c>
      <c r="O445" s="19" t="n">
        <v>305.32</v>
      </c>
      <c r="P445" s="17" t="s">
        <v>33</v>
      </c>
      <c r="Q445" s="20" t="n">
        <f aca="false">DATE(D445,C445,B445)</f>
        <v>44476</v>
      </c>
      <c r="R445" s="17" t="str">
        <f aca="false">IF(HOUR(E445)&lt;6,"Madrugada (0-5 h)",IF(HOUR(E445)&lt;12,"Mañana (6-11 h)",IF(HOUR(E445)&lt;18,"Tarde (12-17 h)","Noche (18-23 h)")))</f>
        <v>Noche (18-23 h)</v>
      </c>
    </row>
    <row r="446" customFormat="false" ht="15" hidden="false" customHeight="false" outlineLevel="0" collapsed="false">
      <c r="A446" s="17" t="n">
        <v>1445</v>
      </c>
      <c r="B446" s="17" t="n">
        <v>10</v>
      </c>
      <c r="C446" s="17" t="n">
        <v>11</v>
      </c>
      <c r="D446" s="17" t="n">
        <v>2022</v>
      </c>
      <c r="E446" s="18" t="n">
        <v>0.0255671296296296</v>
      </c>
      <c r="F446" s="17" t="n">
        <v>3465</v>
      </c>
      <c r="G446" s="17" t="s">
        <v>215</v>
      </c>
      <c r="H446" s="17" t="s">
        <v>197</v>
      </c>
      <c r="I446" s="17" t="s">
        <v>198</v>
      </c>
      <c r="J446" s="17" t="s">
        <v>199</v>
      </c>
      <c r="K446" s="17" t="n">
        <v>31</v>
      </c>
      <c r="L446" s="17" t="s">
        <v>31</v>
      </c>
      <c r="M446" s="17" t="s">
        <v>32</v>
      </c>
      <c r="N446" s="19" t="n">
        <v>5.87</v>
      </c>
      <c r="O446" s="19" t="n">
        <v>181.97</v>
      </c>
      <c r="P446" s="17" t="s">
        <v>33</v>
      </c>
      <c r="Q446" s="20" t="n">
        <f aca="false">DATE(D446,C446,B446)</f>
        <v>44875</v>
      </c>
      <c r="R446" s="17" t="str">
        <f aca="false">IF(HOUR(E446)&lt;6,"Madrugada (0-5 h)",IF(HOUR(E446)&lt;12,"Mañana (6-11 h)",IF(HOUR(E446)&lt;18,"Tarde (12-17 h)","Noche (18-23 h)")))</f>
        <v>Madrugada (0-5 h)</v>
      </c>
    </row>
    <row r="447" customFormat="false" ht="15" hidden="false" customHeight="false" outlineLevel="0" collapsed="false">
      <c r="A447" s="17" t="n">
        <v>1446</v>
      </c>
      <c r="B447" s="17" t="n">
        <v>6</v>
      </c>
      <c r="C447" s="17" t="n">
        <v>11</v>
      </c>
      <c r="D447" s="17" t="n">
        <v>2022</v>
      </c>
      <c r="E447" s="18" t="n">
        <v>0.952094907407407</v>
      </c>
      <c r="F447" s="17" t="n">
        <v>4098</v>
      </c>
      <c r="G447" s="17" t="s">
        <v>216</v>
      </c>
      <c r="H447" s="17" t="s">
        <v>217</v>
      </c>
      <c r="I447" s="17" t="s">
        <v>218</v>
      </c>
      <c r="J447" s="17" t="s">
        <v>219</v>
      </c>
      <c r="K447" s="17" t="n">
        <v>29</v>
      </c>
      <c r="L447" s="17" t="s">
        <v>98</v>
      </c>
      <c r="M447" s="17" t="s">
        <v>62</v>
      </c>
      <c r="N447" s="19" t="n">
        <v>2.31</v>
      </c>
      <c r="O447" s="19" t="n">
        <v>66.99</v>
      </c>
      <c r="P447" s="17" t="s">
        <v>33</v>
      </c>
      <c r="Q447" s="20" t="n">
        <f aca="false">DATE(D447,C447,B447)</f>
        <v>44871</v>
      </c>
      <c r="R447" s="17" t="str">
        <f aca="false">IF(HOUR(E447)&lt;6,"Madrugada (0-5 h)",IF(HOUR(E447)&lt;12,"Mañana (6-11 h)",IF(HOUR(E447)&lt;18,"Tarde (12-17 h)","Noche (18-23 h)")))</f>
        <v>Noche (18-23 h)</v>
      </c>
    </row>
    <row r="448" customFormat="false" ht="15" hidden="false" customHeight="false" outlineLevel="0" collapsed="false">
      <c r="A448" s="17" t="n">
        <v>1447</v>
      </c>
      <c r="B448" s="17" t="n">
        <v>26</v>
      </c>
      <c r="C448" s="17" t="n">
        <v>4</v>
      </c>
      <c r="D448" s="17" t="n">
        <v>2022</v>
      </c>
      <c r="E448" s="18" t="n">
        <v>0.457465277777778</v>
      </c>
      <c r="F448" s="17" t="n">
        <v>2858</v>
      </c>
      <c r="G448" s="17" t="s">
        <v>220</v>
      </c>
      <c r="H448" s="17" t="s">
        <v>221</v>
      </c>
      <c r="I448" s="17" t="s">
        <v>222</v>
      </c>
      <c r="J448" s="17" t="s">
        <v>223</v>
      </c>
      <c r="K448" s="17" t="n">
        <v>44</v>
      </c>
      <c r="L448" s="17" t="s">
        <v>31</v>
      </c>
      <c r="M448" s="17" t="s">
        <v>32</v>
      </c>
      <c r="N448" s="19" t="n">
        <v>6.53</v>
      </c>
      <c r="O448" s="19" t="n">
        <v>287.32</v>
      </c>
      <c r="P448" s="17" t="s">
        <v>33</v>
      </c>
      <c r="Q448" s="20" t="n">
        <f aca="false">DATE(D448,C448,B448)</f>
        <v>44677</v>
      </c>
      <c r="R448" s="17" t="str">
        <f aca="false">IF(HOUR(E448)&lt;6,"Madrugada (0-5 h)",IF(HOUR(E448)&lt;12,"Mañana (6-11 h)",IF(HOUR(E448)&lt;18,"Tarde (12-17 h)","Noche (18-23 h)")))</f>
        <v>Mañana (6-11 h)</v>
      </c>
    </row>
    <row r="449" customFormat="false" ht="15" hidden="false" customHeight="false" outlineLevel="0" collapsed="false">
      <c r="A449" s="17" t="n">
        <v>1448</v>
      </c>
      <c r="B449" s="17" t="n">
        <v>21</v>
      </c>
      <c r="C449" s="17" t="n">
        <v>11</v>
      </c>
      <c r="D449" s="17" t="n">
        <v>2021</v>
      </c>
      <c r="E449" s="18" t="n">
        <v>0.574953703703704</v>
      </c>
      <c r="F449" s="17" t="n">
        <v>1330</v>
      </c>
      <c r="G449" s="17" t="s">
        <v>224</v>
      </c>
      <c r="H449" s="17" t="s">
        <v>225</v>
      </c>
      <c r="I449" s="17" t="s">
        <v>222</v>
      </c>
      <c r="J449" s="17" t="s">
        <v>223</v>
      </c>
      <c r="K449" s="17" t="n">
        <v>44</v>
      </c>
      <c r="L449" s="17" t="s">
        <v>31</v>
      </c>
      <c r="M449" s="17" t="s">
        <v>32</v>
      </c>
      <c r="N449" s="19" t="n">
        <v>2.45</v>
      </c>
      <c r="O449" s="19" t="n">
        <v>107.8</v>
      </c>
      <c r="P449" s="17" t="s">
        <v>33</v>
      </c>
      <c r="Q449" s="20" t="n">
        <f aca="false">DATE(D449,C449,B449)</f>
        <v>44521</v>
      </c>
      <c r="R449" s="17" t="str">
        <f aca="false">IF(HOUR(E449)&lt;6,"Madrugada (0-5 h)",IF(HOUR(E449)&lt;12,"Mañana (6-11 h)",IF(HOUR(E449)&lt;18,"Tarde (12-17 h)","Noche (18-23 h)")))</f>
        <v>Tarde (12-17 h)</v>
      </c>
    </row>
    <row r="450" customFormat="false" ht="15" hidden="false" customHeight="false" outlineLevel="0" collapsed="false">
      <c r="A450" s="17" t="n">
        <v>1449</v>
      </c>
      <c r="B450" s="17" t="n">
        <v>9</v>
      </c>
      <c r="C450" s="17" t="n">
        <v>12</v>
      </c>
      <c r="D450" s="17" t="n">
        <v>2022</v>
      </c>
      <c r="E450" s="18" t="n">
        <v>0.890613425925926</v>
      </c>
      <c r="F450" s="17" t="n">
        <v>2423</v>
      </c>
      <c r="G450" s="17" t="s">
        <v>226</v>
      </c>
      <c r="H450" s="17" t="s">
        <v>227</v>
      </c>
      <c r="I450" s="17" t="s">
        <v>228</v>
      </c>
      <c r="J450" s="17" t="s">
        <v>229</v>
      </c>
      <c r="K450" s="17" t="n">
        <v>42</v>
      </c>
      <c r="L450" s="17" t="s">
        <v>125</v>
      </c>
      <c r="M450" s="17" t="s">
        <v>76</v>
      </c>
      <c r="N450" s="19" t="n">
        <v>3.03</v>
      </c>
      <c r="O450" s="19" t="n">
        <v>127.26</v>
      </c>
      <c r="P450" s="17" t="s">
        <v>33</v>
      </c>
      <c r="Q450" s="20" t="n">
        <f aca="false">DATE(D450,C450,B450)</f>
        <v>44904</v>
      </c>
      <c r="R450" s="17" t="str">
        <f aca="false">IF(HOUR(E450)&lt;6,"Madrugada (0-5 h)",IF(HOUR(E450)&lt;12,"Mañana (6-11 h)",IF(HOUR(E450)&lt;18,"Tarde (12-17 h)","Noche (18-23 h)")))</f>
        <v>Noche (18-23 h)</v>
      </c>
    </row>
    <row r="451" customFormat="false" ht="15" hidden="false" customHeight="false" outlineLevel="0" collapsed="false">
      <c r="A451" s="17" t="n">
        <v>1450</v>
      </c>
      <c r="B451" s="17" t="n">
        <v>26</v>
      </c>
      <c r="C451" s="17" t="n">
        <v>2</v>
      </c>
      <c r="D451" s="17" t="n">
        <v>2022</v>
      </c>
      <c r="E451" s="18" t="n">
        <v>0.73599537037037</v>
      </c>
      <c r="F451" s="17" t="n">
        <v>2737</v>
      </c>
      <c r="G451" s="17" t="s">
        <v>230</v>
      </c>
      <c r="H451" s="17" t="s">
        <v>231</v>
      </c>
      <c r="I451" s="17" t="s">
        <v>232</v>
      </c>
      <c r="J451" s="17" t="s">
        <v>233</v>
      </c>
      <c r="K451" s="17" t="n">
        <v>8</v>
      </c>
      <c r="L451" s="17" t="s">
        <v>81</v>
      </c>
      <c r="M451" s="17" t="s">
        <v>76</v>
      </c>
      <c r="N451" s="19" t="n">
        <v>5.42</v>
      </c>
      <c r="O451" s="19" t="n">
        <v>43.36</v>
      </c>
      <c r="P451" s="17" t="s">
        <v>33</v>
      </c>
      <c r="Q451" s="20" t="n">
        <f aca="false">DATE(D451,C451,B451)</f>
        <v>44618</v>
      </c>
      <c r="R451" s="17" t="str">
        <f aca="false">IF(HOUR(E451)&lt;6,"Madrugada (0-5 h)",IF(HOUR(E451)&lt;12,"Mañana (6-11 h)",IF(HOUR(E451)&lt;18,"Tarde (12-17 h)","Noche (18-23 h)")))</f>
        <v>Tarde (12-17 h)</v>
      </c>
    </row>
    <row r="452" customFormat="false" ht="15" hidden="false" customHeight="false" outlineLevel="0" collapsed="false">
      <c r="A452" s="17" t="n">
        <v>1451</v>
      </c>
      <c r="B452" s="17" t="n">
        <v>10</v>
      </c>
      <c r="C452" s="17" t="n">
        <v>12</v>
      </c>
      <c r="D452" s="17" t="n">
        <v>2021</v>
      </c>
      <c r="E452" s="18" t="n">
        <v>0.4771875</v>
      </c>
      <c r="F452" s="17" t="n">
        <v>4492</v>
      </c>
      <c r="G452" s="17" t="s">
        <v>234</v>
      </c>
      <c r="H452" s="17" t="s">
        <v>235</v>
      </c>
      <c r="I452" s="17" t="s">
        <v>236</v>
      </c>
      <c r="J452" s="17" t="s">
        <v>237</v>
      </c>
      <c r="K452" s="17" t="n">
        <v>25</v>
      </c>
      <c r="L452" s="17" t="s">
        <v>81</v>
      </c>
      <c r="M452" s="17" t="s">
        <v>82</v>
      </c>
      <c r="N452" s="19" t="n">
        <v>25.45</v>
      </c>
      <c r="O452" s="19" t="n">
        <v>636.25</v>
      </c>
      <c r="P452" s="17" t="s">
        <v>33</v>
      </c>
      <c r="Q452" s="20" t="n">
        <f aca="false">DATE(D452,C452,B452)</f>
        <v>44540</v>
      </c>
      <c r="R452" s="17" t="str">
        <f aca="false">IF(HOUR(E452)&lt;6,"Madrugada (0-5 h)",IF(HOUR(E452)&lt;12,"Mañana (6-11 h)",IF(HOUR(E452)&lt;18,"Tarde (12-17 h)","Noche (18-23 h)")))</f>
        <v>Mañana (6-11 h)</v>
      </c>
    </row>
    <row r="453" customFormat="false" ht="15" hidden="false" customHeight="false" outlineLevel="0" collapsed="false">
      <c r="A453" s="17" t="n">
        <v>1452</v>
      </c>
      <c r="B453" s="17" t="n">
        <v>5</v>
      </c>
      <c r="C453" s="17" t="n">
        <v>1</v>
      </c>
      <c r="D453" s="17" t="n">
        <v>2021</v>
      </c>
      <c r="E453" s="18" t="n">
        <v>0.423865740740741</v>
      </c>
      <c r="F453" s="17" t="n">
        <v>2691</v>
      </c>
      <c r="G453" s="17" t="s">
        <v>238</v>
      </c>
      <c r="H453" s="17" t="s">
        <v>239</v>
      </c>
      <c r="I453" s="17" t="s">
        <v>240</v>
      </c>
      <c r="J453" s="17" t="s">
        <v>241</v>
      </c>
      <c r="K453" s="17" t="n">
        <v>13</v>
      </c>
      <c r="L453" s="17" t="s">
        <v>81</v>
      </c>
      <c r="M453" s="17" t="s">
        <v>82</v>
      </c>
      <c r="N453" s="19" t="n">
        <v>18.05</v>
      </c>
      <c r="O453" s="19" t="n">
        <v>234.65</v>
      </c>
      <c r="P453" s="17" t="s">
        <v>33</v>
      </c>
      <c r="Q453" s="20" t="n">
        <f aca="false">DATE(D453,C453,B453)</f>
        <v>44201</v>
      </c>
      <c r="R453" s="17" t="str">
        <f aca="false">IF(HOUR(E453)&lt;6,"Madrugada (0-5 h)",IF(HOUR(E453)&lt;12,"Mañana (6-11 h)",IF(HOUR(E453)&lt;18,"Tarde (12-17 h)","Noche (18-23 h)")))</f>
        <v>Mañana (6-11 h)</v>
      </c>
    </row>
    <row r="454" customFormat="false" ht="15" hidden="false" customHeight="false" outlineLevel="0" collapsed="false">
      <c r="A454" s="17" t="n">
        <v>1453</v>
      </c>
      <c r="B454" s="17" t="n">
        <v>24</v>
      </c>
      <c r="C454" s="17" t="n">
        <v>8</v>
      </c>
      <c r="D454" s="17" t="n">
        <v>2022</v>
      </c>
      <c r="E454" s="18" t="n">
        <v>0.338425925925926</v>
      </c>
      <c r="F454" s="17" t="n">
        <v>1315</v>
      </c>
      <c r="G454" s="17" t="s">
        <v>242</v>
      </c>
      <c r="H454" s="17" t="s">
        <v>243</v>
      </c>
      <c r="I454" s="17" t="s">
        <v>244</v>
      </c>
      <c r="J454" s="17" t="s">
        <v>245</v>
      </c>
      <c r="K454" s="17" t="n">
        <v>39</v>
      </c>
      <c r="L454" s="17" t="s">
        <v>81</v>
      </c>
      <c r="M454" s="17" t="s">
        <v>76</v>
      </c>
      <c r="N454" s="19" t="n">
        <v>5.38</v>
      </c>
      <c r="O454" s="19" t="n">
        <v>209.82</v>
      </c>
      <c r="P454" s="17" t="s">
        <v>33</v>
      </c>
      <c r="Q454" s="20" t="n">
        <f aca="false">DATE(D454,C454,B454)</f>
        <v>44797</v>
      </c>
      <c r="R454" s="17" t="str">
        <f aca="false">IF(HOUR(E454)&lt;6,"Madrugada (0-5 h)",IF(HOUR(E454)&lt;12,"Mañana (6-11 h)",IF(HOUR(E454)&lt;18,"Tarde (12-17 h)","Noche (18-23 h)")))</f>
        <v>Mañana (6-11 h)</v>
      </c>
    </row>
    <row r="455" customFormat="false" ht="15" hidden="false" customHeight="false" outlineLevel="0" collapsed="false">
      <c r="A455" s="17" t="n">
        <v>1454</v>
      </c>
      <c r="B455" s="17" t="n">
        <v>28</v>
      </c>
      <c r="C455" s="17" t="n">
        <v>1</v>
      </c>
      <c r="D455" s="17" t="n">
        <v>2021</v>
      </c>
      <c r="E455" s="18" t="n">
        <v>0.63662037037037</v>
      </c>
      <c r="F455" s="17" t="n">
        <v>3170</v>
      </c>
      <c r="G455" s="17" t="s">
        <v>246</v>
      </c>
      <c r="H455" s="17" t="s">
        <v>442</v>
      </c>
      <c r="I455" s="17" t="s">
        <v>244</v>
      </c>
      <c r="J455" s="17" t="s">
        <v>248</v>
      </c>
      <c r="K455" s="17" t="n">
        <v>29</v>
      </c>
      <c r="L455" s="17" t="s">
        <v>81</v>
      </c>
      <c r="M455" s="17" t="s">
        <v>76</v>
      </c>
      <c r="N455" s="19" t="n">
        <v>9.89</v>
      </c>
      <c r="O455" s="19" t="n">
        <v>286.81</v>
      </c>
      <c r="P455" s="17" t="s">
        <v>33</v>
      </c>
      <c r="Q455" s="20" t="n">
        <f aca="false">DATE(D455,C455,B455)</f>
        <v>44224</v>
      </c>
      <c r="R455" s="17" t="str">
        <f aca="false">IF(HOUR(E455)&lt;6,"Madrugada (0-5 h)",IF(HOUR(E455)&lt;12,"Mañana (6-11 h)",IF(HOUR(E455)&lt;18,"Tarde (12-17 h)","Noche (18-23 h)")))</f>
        <v>Tarde (12-17 h)</v>
      </c>
    </row>
    <row r="456" customFormat="false" ht="15" hidden="false" customHeight="false" outlineLevel="0" collapsed="false">
      <c r="A456" s="17" t="n">
        <v>1455</v>
      </c>
      <c r="B456" s="17" t="n">
        <v>14</v>
      </c>
      <c r="C456" s="17" t="n">
        <v>8</v>
      </c>
      <c r="D456" s="17" t="n">
        <v>2021</v>
      </c>
      <c r="E456" s="18" t="n">
        <v>0.476076388888889</v>
      </c>
      <c r="F456" s="17" t="n">
        <v>4273</v>
      </c>
      <c r="G456" s="17" t="s">
        <v>249</v>
      </c>
      <c r="H456" s="17" t="s">
        <v>250</v>
      </c>
      <c r="I456" s="17" t="s">
        <v>251</v>
      </c>
      <c r="J456" s="17" t="s">
        <v>252</v>
      </c>
      <c r="K456" s="17" t="n">
        <v>24</v>
      </c>
      <c r="L456" s="17" t="s">
        <v>125</v>
      </c>
      <c r="M456" s="17" t="s">
        <v>82</v>
      </c>
      <c r="N456" s="19" t="n">
        <v>25.45</v>
      </c>
      <c r="O456" s="19" t="n">
        <v>610.8</v>
      </c>
      <c r="P456" s="17" t="s">
        <v>33</v>
      </c>
      <c r="Q456" s="20" t="n">
        <f aca="false">DATE(D456,C456,B456)</f>
        <v>44422</v>
      </c>
      <c r="R456" s="17" t="str">
        <f aca="false">IF(HOUR(E456)&lt;6,"Madrugada (0-5 h)",IF(HOUR(E456)&lt;12,"Mañana (6-11 h)",IF(HOUR(E456)&lt;18,"Tarde (12-17 h)","Noche (18-23 h)")))</f>
        <v>Mañana (6-11 h)</v>
      </c>
    </row>
    <row r="457" customFormat="false" ht="15" hidden="false" customHeight="false" outlineLevel="0" collapsed="false">
      <c r="A457" s="17" t="n">
        <v>1456</v>
      </c>
      <c r="B457" s="17" t="n">
        <v>25</v>
      </c>
      <c r="C457" s="17" t="n">
        <v>7</v>
      </c>
      <c r="D457" s="17" t="n">
        <v>2022</v>
      </c>
      <c r="E457" s="18" t="n">
        <v>0.198113425925926</v>
      </c>
      <c r="F457" s="17" t="n">
        <v>1625</v>
      </c>
      <c r="G457" s="17" t="s">
        <v>253</v>
      </c>
      <c r="H457" s="17" t="s">
        <v>250</v>
      </c>
      <c r="I457" s="17" t="s">
        <v>254</v>
      </c>
      <c r="J457" s="17" t="s">
        <v>255</v>
      </c>
      <c r="K457" s="17" t="n">
        <v>50</v>
      </c>
      <c r="L457" s="17" t="s">
        <v>125</v>
      </c>
      <c r="M457" s="17" t="s">
        <v>82</v>
      </c>
      <c r="N457" s="19" t="n">
        <v>16.34</v>
      </c>
      <c r="O457" s="19" t="n">
        <v>817</v>
      </c>
      <c r="P457" s="17" t="s">
        <v>33</v>
      </c>
      <c r="Q457" s="20" t="n">
        <f aca="false">DATE(D457,C457,B457)</f>
        <v>44767</v>
      </c>
      <c r="R457" s="17" t="str">
        <f aca="false">IF(HOUR(E457)&lt;6,"Madrugada (0-5 h)",IF(HOUR(E457)&lt;12,"Mañana (6-11 h)",IF(HOUR(E457)&lt;18,"Tarde (12-17 h)","Noche (18-23 h)")))</f>
        <v>Madrugada (0-5 h)</v>
      </c>
    </row>
    <row r="458" customFormat="false" ht="15" hidden="false" customHeight="false" outlineLevel="0" collapsed="false">
      <c r="A458" s="17" t="n">
        <v>1457</v>
      </c>
      <c r="B458" s="17" t="n">
        <v>27</v>
      </c>
      <c r="C458" s="17" t="n">
        <v>4</v>
      </c>
      <c r="D458" s="17" t="n">
        <v>2022</v>
      </c>
      <c r="E458" s="18" t="n">
        <v>0.0220717592592593</v>
      </c>
      <c r="F458" s="17" t="n">
        <v>3280</v>
      </c>
      <c r="G458" s="17" t="s">
        <v>256</v>
      </c>
      <c r="H458" s="17" t="s">
        <v>257</v>
      </c>
      <c r="I458" s="17" t="s">
        <v>258</v>
      </c>
      <c r="J458" s="17" t="s">
        <v>259</v>
      </c>
      <c r="K458" s="17" t="n">
        <v>22</v>
      </c>
      <c r="L458" s="17" t="s">
        <v>125</v>
      </c>
      <c r="M458" s="17" t="s">
        <v>82</v>
      </c>
      <c r="N458" s="19" t="n">
        <v>13.32</v>
      </c>
      <c r="O458" s="19" t="n">
        <v>293.04</v>
      </c>
      <c r="P458" s="17" t="s">
        <v>33</v>
      </c>
      <c r="Q458" s="20" t="n">
        <f aca="false">DATE(D458,C458,B458)</f>
        <v>44678</v>
      </c>
      <c r="R458" s="17" t="str">
        <f aca="false">IF(HOUR(E458)&lt;6,"Madrugada (0-5 h)",IF(HOUR(E458)&lt;12,"Mañana (6-11 h)",IF(HOUR(E458)&lt;18,"Tarde (12-17 h)","Noche (18-23 h)")))</f>
        <v>Madrugada (0-5 h)</v>
      </c>
    </row>
    <row r="459" customFormat="false" ht="15" hidden="false" customHeight="false" outlineLevel="0" collapsed="false">
      <c r="A459" s="17" t="n">
        <v>1458</v>
      </c>
      <c r="B459" s="17" t="n">
        <v>15</v>
      </c>
      <c r="C459" s="17" t="n">
        <v>12</v>
      </c>
      <c r="D459" s="17" t="n">
        <v>2021</v>
      </c>
      <c r="E459" s="18" t="n">
        <v>0.759074074074074</v>
      </c>
      <c r="F459" s="17" t="n">
        <v>1511</v>
      </c>
      <c r="G459" s="17" t="s">
        <v>260</v>
      </c>
      <c r="H459" s="17" t="s">
        <v>261</v>
      </c>
      <c r="I459" s="17" t="s">
        <v>262</v>
      </c>
      <c r="J459" s="17" t="s">
        <v>263</v>
      </c>
      <c r="K459" s="17" t="n">
        <v>27</v>
      </c>
      <c r="L459" s="17" t="s">
        <v>125</v>
      </c>
      <c r="M459" s="17" t="s">
        <v>82</v>
      </c>
      <c r="N459" s="19" t="n">
        <v>10.1</v>
      </c>
      <c r="O459" s="19" t="n">
        <v>272.7</v>
      </c>
      <c r="P459" s="17" t="s">
        <v>33</v>
      </c>
      <c r="Q459" s="20" t="n">
        <f aca="false">DATE(D459,C459,B459)</f>
        <v>44545</v>
      </c>
      <c r="R459" s="17" t="str">
        <f aca="false">IF(HOUR(E459)&lt;6,"Madrugada (0-5 h)",IF(HOUR(E459)&lt;12,"Mañana (6-11 h)",IF(HOUR(E459)&lt;18,"Tarde (12-17 h)","Noche (18-23 h)")))</f>
        <v>Noche (18-23 h)</v>
      </c>
    </row>
    <row r="460" customFormat="false" ht="15" hidden="false" customHeight="false" outlineLevel="0" collapsed="false">
      <c r="A460" s="17" t="n">
        <v>1459</v>
      </c>
      <c r="B460" s="17" t="n">
        <v>27</v>
      </c>
      <c r="C460" s="17" t="n">
        <v>8</v>
      </c>
      <c r="D460" s="17" t="n">
        <v>2022</v>
      </c>
      <c r="E460" s="18" t="n">
        <v>0.713483796296296</v>
      </c>
      <c r="F460" s="17" t="n">
        <v>4101</v>
      </c>
      <c r="G460" s="17" t="s">
        <v>264</v>
      </c>
      <c r="H460" s="17" t="s">
        <v>443</v>
      </c>
      <c r="I460" s="17" t="s">
        <v>266</v>
      </c>
      <c r="J460" s="17" t="s">
        <v>129</v>
      </c>
      <c r="K460" s="17" t="n">
        <v>20</v>
      </c>
      <c r="L460" s="17" t="s">
        <v>61</v>
      </c>
      <c r="M460" s="17" t="s">
        <v>32</v>
      </c>
      <c r="N460" s="19" t="n">
        <v>4.56</v>
      </c>
      <c r="O460" s="19" t="n">
        <v>91.2</v>
      </c>
      <c r="P460" s="17" t="s">
        <v>33</v>
      </c>
      <c r="Q460" s="20" t="n">
        <f aca="false">DATE(D460,C460,B460)</f>
        <v>44800</v>
      </c>
      <c r="R460" s="17" t="str">
        <f aca="false">IF(HOUR(E460)&lt;6,"Madrugada (0-5 h)",IF(HOUR(E460)&lt;12,"Mañana (6-11 h)",IF(HOUR(E460)&lt;18,"Tarde (12-17 h)","Noche (18-23 h)")))</f>
        <v>Tarde (12-17 h)</v>
      </c>
    </row>
    <row r="461" customFormat="false" ht="15" hidden="false" customHeight="false" outlineLevel="0" collapsed="false">
      <c r="A461" s="17" t="n">
        <v>1460</v>
      </c>
      <c r="B461" s="17" t="n">
        <v>28</v>
      </c>
      <c r="C461" s="17" t="n">
        <v>11</v>
      </c>
      <c r="D461" s="17" t="n">
        <v>2021</v>
      </c>
      <c r="E461" s="18" t="n">
        <v>0.181886574074074</v>
      </c>
      <c r="F461" s="17" t="n">
        <v>4538</v>
      </c>
      <c r="G461" s="17" t="s">
        <v>267</v>
      </c>
      <c r="H461" s="17" t="s">
        <v>267</v>
      </c>
      <c r="I461" s="17" t="s">
        <v>93</v>
      </c>
      <c r="J461" s="17" t="s">
        <v>268</v>
      </c>
      <c r="K461" s="17" t="n">
        <v>23</v>
      </c>
      <c r="L461" s="17" t="s">
        <v>61</v>
      </c>
      <c r="M461" s="17" t="s">
        <v>32</v>
      </c>
      <c r="N461" s="19" t="n">
        <v>5.56</v>
      </c>
      <c r="O461" s="19" t="n">
        <v>127.88</v>
      </c>
      <c r="P461" s="17" t="s">
        <v>33</v>
      </c>
      <c r="Q461" s="20" t="n">
        <f aca="false">DATE(D461,C461,B461)</f>
        <v>44528</v>
      </c>
      <c r="R461" s="17" t="str">
        <f aca="false">IF(HOUR(E461)&lt;6,"Madrugada (0-5 h)",IF(HOUR(E461)&lt;12,"Mañana (6-11 h)",IF(HOUR(E461)&lt;18,"Tarde (12-17 h)","Noche (18-23 h)")))</f>
        <v>Madrugada (0-5 h)</v>
      </c>
    </row>
    <row r="462" customFormat="false" ht="15" hidden="false" customHeight="false" outlineLevel="0" collapsed="false">
      <c r="A462" s="17" t="n">
        <v>1461</v>
      </c>
      <c r="B462" s="17" t="n">
        <v>7</v>
      </c>
      <c r="C462" s="17" t="n">
        <v>9</v>
      </c>
      <c r="D462" s="17" t="n">
        <v>2021</v>
      </c>
      <c r="E462" s="18" t="n">
        <v>0.385671296296296</v>
      </c>
      <c r="F462" s="17" t="n">
        <v>2133</v>
      </c>
      <c r="G462" s="17" t="s">
        <v>269</v>
      </c>
      <c r="H462" s="17" t="s">
        <v>270</v>
      </c>
      <c r="I462" s="17" t="s">
        <v>271</v>
      </c>
      <c r="J462" s="17" t="s">
        <v>272</v>
      </c>
      <c r="K462" s="17" t="n">
        <v>14</v>
      </c>
      <c r="L462" s="17" t="s">
        <v>61</v>
      </c>
      <c r="M462" s="17" t="s">
        <v>32</v>
      </c>
      <c r="N462" s="19" t="n">
        <v>3.43</v>
      </c>
      <c r="O462" s="19" t="n">
        <v>48.02</v>
      </c>
      <c r="P462" s="17" t="s">
        <v>33</v>
      </c>
      <c r="Q462" s="20" t="n">
        <f aca="false">DATE(D462,C462,B462)</f>
        <v>44446</v>
      </c>
      <c r="R462" s="17" t="str">
        <f aca="false">IF(HOUR(E462)&lt;6,"Madrugada (0-5 h)",IF(HOUR(E462)&lt;12,"Mañana (6-11 h)",IF(HOUR(E462)&lt;18,"Tarde (12-17 h)","Noche (18-23 h)")))</f>
        <v>Mañana (6-11 h)</v>
      </c>
    </row>
    <row r="463" customFormat="false" ht="15" hidden="false" customHeight="false" outlineLevel="0" collapsed="false">
      <c r="A463" s="17" t="n">
        <v>1462</v>
      </c>
      <c r="B463" s="17" t="n">
        <v>18</v>
      </c>
      <c r="C463" s="17" t="n">
        <v>7</v>
      </c>
      <c r="D463" s="17" t="n">
        <v>2022</v>
      </c>
      <c r="E463" s="18" t="n">
        <v>0.108888888888889</v>
      </c>
      <c r="F463" s="17" t="n">
        <v>4485</v>
      </c>
      <c r="G463" s="17" t="s">
        <v>273</v>
      </c>
      <c r="H463" s="17" t="s">
        <v>274</v>
      </c>
      <c r="I463" s="17" t="s">
        <v>275</v>
      </c>
      <c r="J463" s="17" t="s">
        <v>276</v>
      </c>
      <c r="K463" s="17" t="n">
        <v>49</v>
      </c>
      <c r="L463" s="17" t="s">
        <v>31</v>
      </c>
      <c r="M463" s="17" t="s">
        <v>32</v>
      </c>
      <c r="N463" s="19" t="n">
        <v>15.02</v>
      </c>
      <c r="O463" s="19" t="n">
        <v>735.98</v>
      </c>
      <c r="P463" s="17" t="s">
        <v>33</v>
      </c>
      <c r="Q463" s="20" t="n">
        <f aca="false">DATE(D463,C463,B463)</f>
        <v>44760</v>
      </c>
      <c r="R463" s="17" t="str">
        <f aca="false">IF(HOUR(E463)&lt;6,"Madrugada (0-5 h)",IF(HOUR(E463)&lt;12,"Mañana (6-11 h)",IF(HOUR(E463)&lt;18,"Tarde (12-17 h)","Noche (18-23 h)")))</f>
        <v>Madrugada (0-5 h)</v>
      </c>
    </row>
    <row r="464" customFormat="false" ht="15" hidden="false" customHeight="false" outlineLevel="0" collapsed="false">
      <c r="A464" s="17" t="n">
        <v>1463</v>
      </c>
      <c r="B464" s="17" t="n">
        <v>5</v>
      </c>
      <c r="C464" s="17" t="n">
        <v>2</v>
      </c>
      <c r="D464" s="17" t="n">
        <v>2021</v>
      </c>
      <c r="E464" s="18" t="n">
        <v>0.198368055555556</v>
      </c>
      <c r="F464" s="17" t="n">
        <v>3927</v>
      </c>
      <c r="G464" s="17" t="s">
        <v>277</v>
      </c>
      <c r="H464" s="17" t="s">
        <v>278</v>
      </c>
      <c r="I464" s="17" t="s">
        <v>279</v>
      </c>
      <c r="J464" s="17" t="s">
        <v>280</v>
      </c>
      <c r="K464" s="17" t="n">
        <v>38</v>
      </c>
      <c r="L464" s="17" t="s">
        <v>31</v>
      </c>
      <c r="M464" s="17" t="s">
        <v>32</v>
      </c>
      <c r="N464" s="19" t="n">
        <v>2.02</v>
      </c>
      <c r="O464" s="19" t="n">
        <v>76.76</v>
      </c>
      <c r="P464" s="17" t="s">
        <v>33</v>
      </c>
      <c r="Q464" s="20" t="n">
        <f aca="false">DATE(D464,C464,B464)</f>
        <v>44232</v>
      </c>
      <c r="R464" s="17" t="str">
        <f aca="false">IF(HOUR(E464)&lt;6,"Madrugada (0-5 h)",IF(HOUR(E464)&lt;12,"Mañana (6-11 h)",IF(HOUR(E464)&lt;18,"Tarde (12-17 h)","Noche (18-23 h)")))</f>
        <v>Madrugada (0-5 h)</v>
      </c>
    </row>
    <row r="465" customFormat="false" ht="15" hidden="false" customHeight="false" outlineLevel="0" collapsed="false">
      <c r="A465" s="17" t="n">
        <v>1464</v>
      </c>
      <c r="B465" s="17" t="n">
        <v>25</v>
      </c>
      <c r="C465" s="17" t="n">
        <v>6</v>
      </c>
      <c r="D465" s="17" t="n">
        <v>2022</v>
      </c>
      <c r="E465" s="18" t="n">
        <v>0.781203703703704</v>
      </c>
      <c r="F465" s="17" t="n">
        <v>4841</v>
      </c>
      <c r="G465" s="17" t="s">
        <v>224</v>
      </c>
      <c r="H465" s="17" t="s">
        <v>224</v>
      </c>
      <c r="I465" s="17" t="s">
        <v>281</v>
      </c>
      <c r="J465" s="17" t="s">
        <v>282</v>
      </c>
      <c r="K465" s="17" t="n">
        <v>45</v>
      </c>
      <c r="L465" s="17" t="s">
        <v>31</v>
      </c>
      <c r="M465" s="17" t="s">
        <v>32</v>
      </c>
      <c r="N465" s="19" t="n">
        <v>2.45</v>
      </c>
      <c r="O465" s="19" t="n">
        <v>110.25</v>
      </c>
      <c r="P465" s="17" t="s">
        <v>33</v>
      </c>
      <c r="Q465" s="20" t="n">
        <f aca="false">DATE(D465,C465,B465)</f>
        <v>44737</v>
      </c>
      <c r="R465" s="17" t="str">
        <f aca="false">IF(HOUR(E465)&lt;6,"Madrugada (0-5 h)",IF(HOUR(E465)&lt;12,"Mañana (6-11 h)",IF(HOUR(E465)&lt;18,"Tarde (12-17 h)","Noche (18-23 h)")))</f>
        <v>Noche (18-23 h)</v>
      </c>
    </row>
    <row r="466" customFormat="false" ht="15" hidden="false" customHeight="false" outlineLevel="0" collapsed="false">
      <c r="A466" s="17" t="n">
        <v>1465</v>
      </c>
      <c r="B466" s="17" t="n">
        <v>20</v>
      </c>
      <c r="C466" s="17" t="n">
        <v>3</v>
      </c>
      <c r="D466" s="17" t="n">
        <v>2021</v>
      </c>
      <c r="E466" s="18" t="n">
        <v>0.764212962962963</v>
      </c>
      <c r="F466" s="17" t="n">
        <v>3656</v>
      </c>
      <c r="G466" s="17" t="s">
        <v>220</v>
      </c>
      <c r="H466" s="17" t="s">
        <v>221</v>
      </c>
      <c r="I466" s="17" t="s">
        <v>283</v>
      </c>
      <c r="J466" s="17" t="s">
        <v>284</v>
      </c>
      <c r="K466" s="17" t="n">
        <v>7</v>
      </c>
      <c r="L466" s="17" t="s">
        <v>31</v>
      </c>
      <c r="M466" s="17" t="s">
        <v>32</v>
      </c>
      <c r="N466" s="19" t="n">
        <v>6.53</v>
      </c>
      <c r="O466" s="19" t="n">
        <v>45.71</v>
      </c>
      <c r="P466" s="17" t="s">
        <v>33</v>
      </c>
      <c r="Q466" s="20" t="n">
        <f aca="false">DATE(D466,C466,B466)</f>
        <v>44275</v>
      </c>
      <c r="R466" s="17" t="str">
        <f aca="false">IF(HOUR(E466)&lt;6,"Madrugada (0-5 h)",IF(HOUR(E466)&lt;12,"Mañana (6-11 h)",IF(HOUR(E466)&lt;18,"Tarde (12-17 h)","Noche (18-23 h)")))</f>
        <v>Noche (18-23 h)</v>
      </c>
    </row>
    <row r="467" customFormat="false" ht="15" hidden="false" customHeight="false" outlineLevel="0" collapsed="false">
      <c r="A467" s="17" t="n">
        <v>1466</v>
      </c>
      <c r="B467" s="17" t="n">
        <v>10</v>
      </c>
      <c r="C467" s="17" t="n">
        <v>6</v>
      </c>
      <c r="D467" s="17" t="n">
        <v>2022</v>
      </c>
      <c r="E467" s="18" t="n">
        <v>0.719097222222222</v>
      </c>
      <c r="F467" s="17" t="n">
        <v>1800</v>
      </c>
      <c r="G467" s="17" t="s">
        <v>285</v>
      </c>
      <c r="H467" s="17" t="s">
        <v>286</v>
      </c>
      <c r="I467" s="17" t="s">
        <v>287</v>
      </c>
      <c r="J467" s="17" t="s">
        <v>288</v>
      </c>
      <c r="K467" s="17" t="n">
        <v>36</v>
      </c>
      <c r="L467" s="17" t="s">
        <v>31</v>
      </c>
      <c r="M467" s="17" t="s">
        <v>32</v>
      </c>
      <c r="N467" s="19" t="n">
        <v>5.55</v>
      </c>
      <c r="O467" s="19" t="n">
        <v>199.8</v>
      </c>
      <c r="P467" s="17" t="s">
        <v>33</v>
      </c>
      <c r="Q467" s="20" t="n">
        <f aca="false">DATE(D467,C467,B467)</f>
        <v>44722</v>
      </c>
      <c r="R467" s="17" t="str">
        <f aca="false">IF(HOUR(E467)&lt;6,"Madrugada (0-5 h)",IF(HOUR(E467)&lt;12,"Mañana (6-11 h)",IF(HOUR(E467)&lt;18,"Tarde (12-17 h)","Noche (18-23 h)")))</f>
        <v>Tarde (12-17 h)</v>
      </c>
    </row>
    <row r="468" customFormat="false" ht="15" hidden="false" customHeight="false" outlineLevel="0" collapsed="false">
      <c r="A468" s="17" t="n">
        <v>1467</v>
      </c>
      <c r="B468" s="17" t="n">
        <v>22</v>
      </c>
      <c r="C468" s="17" t="n">
        <v>7</v>
      </c>
      <c r="D468" s="17" t="n">
        <v>2022</v>
      </c>
      <c r="E468" s="18" t="n">
        <v>0.561087962962963</v>
      </c>
      <c r="F468" s="17" t="n">
        <v>2755</v>
      </c>
      <c r="G468" s="17" t="s">
        <v>91</v>
      </c>
      <c r="H468" s="17" t="s">
        <v>92</v>
      </c>
      <c r="I468" s="17" t="s">
        <v>289</v>
      </c>
      <c r="J468" s="17" t="s">
        <v>290</v>
      </c>
      <c r="K468" s="17" t="n">
        <v>27</v>
      </c>
      <c r="L468" s="17" t="s">
        <v>61</v>
      </c>
      <c r="M468" s="17" t="s">
        <v>32</v>
      </c>
      <c r="N468" s="19" t="n">
        <v>4.12</v>
      </c>
      <c r="O468" s="19" t="n">
        <v>111.24</v>
      </c>
      <c r="P468" s="17" t="s">
        <v>33</v>
      </c>
      <c r="Q468" s="20" t="n">
        <f aca="false">DATE(D468,C468,B468)</f>
        <v>44764</v>
      </c>
      <c r="R468" s="17" t="str">
        <f aca="false">IF(HOUR(E468)&lt;6,"Madrugada (0-5 h)",IF(HOUR(E468)&lt;12,"Mañana (6-11 h)",IF(HOUR(E468)&lt;18,"Tarde (12-17 h)","Noche (18-23 h)")))</f>
        <v>Tarde (12-17 h)</v>
      </c>
    </row>
    <row r="469" customFormat="false" ht="15" hidden="false" customHeight="false" outlineLevel="0" collapsed="false">
      <c r="A469" s="17" t="n">
        <v>1468</v>
      </c>
      <c r="B469" s="17" t="n">
        <v>25</v>
      </c>
      <c r="C469" s="17" t="n">
        <v>3</v>
      </c>
      <c r="D469" s="17" t="n">
        <v>2021</v>
      </c>
      <c r="E469" s="18" t="n">
        <v>0.903252314814815</v>
      </c>
      <c r="F469" s="17" t="n">
        <v>2882</v>
      </c>
      <c r="G469" s="17" t="s">
        <v>291</v>
      </c>
      <c r="H469" s="17" t="s">
        <v>444</v>
      </c>
      <c r="I469" s="17" t="s">
        <v>293</v>
      </c>
      <c r="J469" s="17" t="s">
        <v>294</v>
      </c>
      <c r="K469" s="17" t="n">
        <v>8</v>
      </c>
      <c r="L469" s="17" t="s">
        <v>42</v>
      </c>
      <c r="M469" s="17" t="s">
        <v>32</v>
      </c>
      <c r="N469" s="19" t="n">
        <v>5.76</v>
      </c>
      <c r="O469" s="19" t="n">
        <v>46.08</v>
      </c>
      <c r="P469" s="17" t="s">
        <v>33</v>
      </c>
      <c r="Q469" s="20" t="n">
        <f aca="false">DATE(D469,C469,B469)</f>
        <v>44280</v>
      </c>
      <c r="R469" s="17" t="str">
        <f aca="false">IF(HOUR(E469)&lt;6,"Madrugada (0-5 h)",IF(HOUR(E469)&lt;12,"Mañana (6-11 h)",IF(HOUR(E469)&lt;18,"Tarde (12-17 h)","Noche (18-23 h)")))</f>
        <v>Noche (18-23 h)</v>
      </c>
    </row>
    <row r="470" customFormat="false" ht="15" hidden="false" customHeight="false" outlineLevel="0" collapsed="false">
      <c r="A470" s="17" t="n">
        <v>1469</v>
      </c>
      <c r="B470" s="17" t="n">
        <v>5</v>
      </c>
      <c r="C470" s="17" t="n">
        <v>5</v>
      </c>
      <c r="D470" s="17" t="n">
        <v>2022</v>
      </c>
      <c r="E470" s="18" t="n">
        <v>0.639699074074074</v>
      </c>
      <c r="F470" s="17" t="n">
        <v>4145</v>
      </c>
      <c r="G470" s="17" t="s">
        <v>295</v>
      </c>
      <c r="H470" s="17" t="s">
        <v>296</v>
      </c>
      <c r="I470" s="17" t="s">
        <v>297</v>
      </c>
      <c r="J470" s="17" t="s">
        <v>298</v>
      </c>
      <c r="K470" s="17" t="n">
        <v>4</v>
      </c>
      <c r="L470" s="17" t="s">
        <v>98</v>
      </c>
      <c r="M470" s="17" t="s">
        <v>62</v>
      </c>
      <c r="N470" s="19" t="n">
        <v>3.5</v>
      </c>
      <c r="O470" s="19" t="n">
        <v>14</v>
      </c>
      <c r="P470" s="17" t="s">
        <v>33</v>
      </c>
      <c r="Q470" s="20" t="n">
        <f aca="false">DATE(D470,C470,B470)</f>
        <v>44686</v>
      </c>
      <c r="R470" s="17" t="str">
        <f aca="false">IF(HOUR(E470)&lt;6,"Madrugada (0-5 h)",IF(HOUR(E470)&lt;12,"Mañana (6-11 h)",IF(HOUR(E470)&lt;18,"Tarde (12-17 h)","Noche (18-23 h)")))</f>
        <v>Tarde (12-17 h)</v>
      </c>
    </row>
    <row r="471" customFormat="false" ht="15" hidden="false" customHeight="false" outlineLevel="0" collapsed="false">
      <c r="A471" s="17" t="n">
        <v>1470</v>
      </c>
      <c r="B471" s="17" t="n">
        <v>21</v>
      </c>
      <c r="C471" s="17" t="n">
        <v>2</v>
      </c>
      <c r="D471" s="17" t="n">
        <v>2021</v>
      </c>
      <c r="E471" s="18" t="n">
        <v>0.89599537037037</v>
      </c>
      <c r="F471" s="17" t="n">
        <v>1798</v>
      </c>
      <c r="G471" s="17" t="s">
        <v>72</v>
      </c>
      <c r="H471" s="17" t="s">
        <v>299</v>
      </c>
      <c r="I471" s="17" t="s">
        <v>300</v>
      </c>
      <c r="J471" s="17" t="s">
        <v>301</v>
      </c>
      <c r="K471" s="17" t="n">
        <v>44</v>
      </c>
      <c r="L471" s="17" t="s">
        <v>61</v>
      </c>
      <c r="M471" s="17" t="s">
        <v>76</v>
      </c>
      <c r="N471" s="19" t="n">
        <v>13.71</v>
      </c>
      <c r="O471" s="19" t="n">
        <v>603.24</v>
      </c>
      <c r="P471" s="17" t="s">
        <v>33</v>
      </c>
      <c r="Q471" s="20" t="n">
        <f aca="false">DATE(D471,C471,B471)</f>
        <v>44248</v>
      </c>
      <c r="R471" s="17" t="str">
        <f aca="false">IF(HOUR(E471)&lt;6,"Madrugada (0-5 h)",IF(HOUR(E471)&lt;12,"Mañana (6-11 h)",IF(HOUR(E471)&lt;18,"Tarde (12-17 h)","Noche (18-23 h)")))</f>
        <v>Noche (18-23 h)</v>
      </c>
    </row>
    <row r="472" customFormat="false" ht="15" hidden="false" customHeight="false" outlineLevel="0" collapsed="false">
      <c r="A472" s="17" t="n">
        <v>1471</v>
      </c>
      <c r="B472" s="17" t="n">
        <v>8</v>
      </c>
      <c r="C472" s="17" t="n">
        <v>10</v>
      </c>
      <c r="D472" s="17" t="n">
        <v>2022</v>
      </c>
      <c r="E472" s="18" t="n">
        <v>0.0317361111111111</v>
      </c>
      <c r="F472" s="17" t="n">
        <v>3390</v>
      </c>
      <c r="G472" s="17" t="s">
        <v>302</v>
      </c>
      <c r="H472" s="17" t="s">
        <v>303</v>
      </c>
      <c r="I472" s="17" t="s">
        <v>300</v>
      </c>
      <c r="J472" s="17" t="s">
        <v>301</v>
      </c>
      <c r="K472" s="17" t="n">
        <v>37</v>
      </c>
      <c r="L472" s="17" t="s">
        <v>61</v>
      </c>
      <c r="M472" s="17" t="s">
        <v>76</v>
      </c>
      <c r="N472" s="19" t="n">
        <v>22.36</v>
      </c>
      <c r="O472" s="19" t="n">
        <v>827.32</v>
      </c>
      <c r="P472" s="17" t="s">
        <v>33</v>
      </c>
      <c r="Q472" s="20" t="n">
        <f aca="false">DATE(D472,C472,B472)</f>
        <v>44842</v>
      </c>
      <c r="R472" s="17" t="str">
        <f aca="false">IF(HOUR(E472)&lt;6,"Madrugada (0-5 h)",IF(HOUR(E472)&lt;12,"Mañana (6-11 h)",IF(HOUR(E472)&lt;18,"Tarde (12-17 h)","Noche (18-23 h)")))</f>
        <v>Madrugada (0-5 h)</v>
      </c>
    </row>
    <row r="473" customFormat="false" ht="15" hidden="false" customHeight="false" outlineLevel="0" collapsed="false">
      <c r="A473" s="17" t="n">
        <v>1472</v>
      </c>
      <c r="B473" s="17" t="n">
        <v>14</v>
      </c>
      <c r="C473" s="17" t="n">
        <v>5</v>
      </c>
      <c r="D473" s="17" t="n">
        <v>2021</v>
      </c>
      <c r="E473" s="18" t="n">
        <v>0.416076388888889</v>
      </c>
      <c r="F473" s="17" t="n">
        <v>2807</v>
      </c>
      <c r="G473" s="17" t="s">
        <v>304</v>
      </c>
      <c r="H473" s="17" t="s">
        <v>305</v>
      </c>
      <c r="I473" s="17" t="s">
        <v>305</v>
      </c>
      <c r="J473" s="17" t="s">
        <v>306</v>
      </c>
      <c r="K473" s="17" t="n">
        <v>31</v>
      </c>
      <c r="L473" s="17" t="s">
        <v>31</v>
      </c>
      <c r="M473" s="17" t="s">
        <v>32</v>
      </c>
      <c r="N473" s="19" t="n">
        <v>6.68</v>
      </c>
      <c r="O473" s="19" t="n">
        <v>207.08</v>
      </c>
      <c r="P473" s="17" t="s">
        <v>33</v>
      </c>
      <c r="Q473" s="20" t="n">
        <f aca="false">DATE(D473,C473,B473)</f>
        <v>44330</v>
      </c>
      <c r="R473" s="17" t="str">
        <f aca="false">IF(HOUR(E473)&lt;6,"Madrugada (0-5 h)",IF(HOUR(E473)&lt;12,"Mañana (6-11 h)",IF(HOUR(E473)&lt;18,"Tarde (12-17 h)","Noche (18-23 h)")))</f>
        <v>Mañana (6-11 h)</v>
      </c>
    </row>
    <row r="474" customFormat="false" ht="15" hidden="false" customHeight="false" outlineLevel="0" collapsed="false">
      <c r="A474" s="17" t="n">
        <v>1473</v>
      </c>
      <c r="B474" s="17" t="n">
        <v>23</v>
      </c>
      <c r="C474" s="17" t="n">
        <v>11</v>
      </c>
      <c r="D474" s="17" t="n">
        <v>2021</v>
      </c>
      <c r="E474" s="18" t="n">
        <v>0.696365740740741</v>
      </c>
      <c r="F474" s="17" t="n">
        <v>4938</v>
      </c>
      <c r="G474" s="17" t="s">
        <v>307</v>
      </c>
      <c r="H474" s="17" t="s">
        <v>250</v>
      </c>
      <c r="I474" s="17" t="s">
        <v>308</v>
      </c>
      <c r="J474" s="17" t="s">
        <v>309</v>
      </c>
      <c r="K474" s="17" t="n">
        <v>28</v>
      </c>
      <c r="L474" s="17" t="s">
        <v>31</v>
      </c>
      <c r="M474" s="17" t="s">
        <v>32</v>
      </c>
      <c r="N474" s="19" t="n">
        <v>10.05</v>
      </c>
      <c r="O474" s="19" t="n">
        <v>281.4</v>
      </c>
      <c r="P474" s="17" t="s">
        <v>33</v>
      </c>
      <c r="Q474" s="20" t="n">
        <f aca="false">DATE(D474,C474,B474)</f>
        <v>44523</v>
      </c>
      <c r="R474" s="17" t="str">
        <f aca="false">IF(HOUR(E474)&lt;6,"Madrugada (0-5 h)",IF(HOUR(E474)&lt;12,"Mañana (6-11 h)",IF(HOUR(E474)&lt;18,"Tarde (12-17 h)","Noche (18-23 h)")))</f>
        <v>Tarde (12-17 h)</v>
      </c>
    </row>
    <row r="475" customFormat="false" ht="15" hidden="false" customHeight="false" outlineLevel="0" collapsed="false">
      <c r="A475" s="17" t="n">
        <v>1474</v>
      </c>
      <c r="B475" s="17" t="n">
        <v>6</v>
      </c>
      <c r="C475" s="17" t="n">
        <v>2</v>
      </c>
      <c r="D475" s="17" t="n">
        <v>2022</v>
      </c>
      <c r="E475" s="18" t="n">
        <v>0.504444444444445</v>
      </c>
      <c r="F475" s="17" t="n">
        <v>3944</v>
      </c>
      <c r="G475" s="17" t="s">
        <v>310</v>
      </c>
      <c r="H475" s="17" t="s">
        <v>311</v>
      </c>
      <c r="I475" s="17" t="s">
        <v>312</v>
      </c>
      <c r="J475" s="17" t="s">
        <v>313</v>
      </c>
      <c r="K475" s="17" t="n">
        <v>21</v>
      </c>
      <c r="L475" s="17" t="s">
        <v>31</v>
      </c>
      <c r="M475" s="17" t="s">
        <v>32</v>
      </c>
      <c r="N475" s="19" t="n">
        <v>1.55</v>
      </c>
      <c r="O475" s="19" t="n">
        <v>32.55</v>
      </c>
      <c r="P475" s="17" t="s">
        <v>33</v>
      </c>
      <c r="Q475" s="20" t="n">
        <f aca="false">DATE(D475,C475,B475)</f>
        <v>44598</v>
      </c>
      <c r="R475" s="17" t="str">
        <f aca="false">IF(HOUR(E475)&lt;6,"Madrugada (0-5 h)",IF(HOUR(E475)&lt;12,"Mañana (6-11 h)",IF(HOUR(E475)&lt;18,"Tarde (12-17 h)","Noche (18-23 h)")))</f>
        <v>Tarde (12-17 h)</v>
      </c>
    </row>
    <row r="476" customFormat="false" ht="15" hidden="false" customHeight="false" outlineLevel="0" collapsed="false">
      <c r="A476" s="17" t="n">
        <v>1475</v>
      </c>
      <c r="B476" s="17" t="n">
        <v>15</v>
      </c>
      <c r="C476" s="17" t="n">
        <v>11</v>
      </c>
      <c r="D476" s="17" t="n">
        <v>2022</v>
      </c>
      <c r="E476" s="18" t="n">
        <v>0.948819444444444</v>
      </c>
      <c r="F476" s="17" t="n">
        <v>4842</v>
      </c>
      <c r="G476" s="17" t="s">
        <v>314</v>
      </c>
      <c r="H476" s="17" t="s">
        <v>315</v>
      </c>
      <c r="I476" s="17" t="s">
        <v>316</v>
      </c>
      <c r="J476" s="17" t="s">
        <v>317</v>
      </c>
      <c r="K476" s="17" t="n">
        <v>17</v>
      </c>
      <c r="L476" s="17" t="s">
        <v>31</v>
      </c>
      <c r="M476" s="17" t="s">
        <v>32</v>
      </c>
      <c r="N476" s="19" t="n">
        <v>4.55</v>
      </c>
      <c r="O476" s="19" t="n">
        <v>77.35</v>
      </c>
      <c r="P476" s="17" t="s">
        <v>33</v>
      </c>
      <c r="Q476" s="20" t="n">
        <f aca="false">DATE(D476,C476,B476)</f>
        <v>44880</v>
      </c>
      <c r="R476" s="17" t="str">
        <f aca="false">IF(HOUR(E476)&lt;6,"Madrugada (0-5 h)",IF(HOUR(E476)&lt;12,"Mañana (6-11 h)",IF(HOUR(E476)&lt;18,"Tarde (12-17 h)","Noche (18-23 h)")))</f>
        <v>Noche (18-23 h)</v>
      </c>
    </row>
    <row r="477" customFormat="false" ht="15" hidden="false" customHeight="false" outlineLevel="0" collapsed="false">
      <c r="A477" s="17" t="n">
        <v>1476</v>
      </c>
      <c r="B477" s="17" t="n">
        <v>17</v>
      </c>
      <c r="C477" s="17" t="n">
        <v>8</v>
      </c>
      <c r="D477" s="17" t="n">
        <v>2022</v>
      </c>
      <c r="E477" s="18" t="n">
        <v>0.843969907407407</v>
      </c>
      <c r="F477" s="17" t="n">
        <v>3802</v>
      </c>
      <c r="G477" s="17" t="s">
        <v>318</v>
      </c>
      <c r="H477" s="17" t="s">
        <v>319</v>
      </c>
      <c r="I477" s="17" t="s">
        <v>320</v>
      </c>
      <c r="J477" s="17" t="s">
        <v>321</v>
      </c>
      <c r="K477" s="17" t="n">
        <v>9</v>
      </c>
      <c r="L477" s="17" t="s">
        <v>31</v>
      </c>
      <c r="M477" s="17" t="s">
        <v>82</v>
      </c>
      <c r="N477" s="19" t="n">
        <v>5.74</v>
      </c>
      <c r="O477" s="19" t="n">
        <v>51.66</v>
      </c>
      <c r="P477" s="17" t="s">
        <v>33</v>
      </c>
      <c r="Q477" s="20" t="n">
        <f aca="false">DATE(D477,C477,B477)</f>
        <v>44790</v>
      </c>
      <c r="R477" s="17" t="str">
        <f aca="false">IF(HOUR(E477)&lt;6,"Madrugada (0-5 h)",IF(HOUR(E477)&lt;12,"Mañana (6-11 h)",IF(HOUR(E477)&lt;18,"Tarde (12-17 h)","Noche (18-23 h)")))</f>
        <v>Noche (18-23 h)</v>
      </c>
    </row>
    <row r="478" customFormat="false" ht="15" hidden="false" customHeight="false" outlineLevel="0" collapsed="false">
      <c r="A478" s="17" t="n">
        <v>1477</v>
      </c>
      <c r="B478" s="17" t="n">
        <v>16</v>
      </c>
      <c r="C478" s="17" t="n">
        <v>7</v>
      </c>
      <c r="D478" s="17" t="n">
        <v>2021</v>
      </c>
      <c r="E478" s="18" t="n">
        <v>0.350787037037037</v>
      </c>
      <c r="F478" s="17" t="n">
        <v>3972</v>
      </c>
      <c r="G478" s="17" t="s">
        <v>322</v>
      </c>
      <c r="H478" s="17" t="s">
        <v>323</v>
      </c>
      <c r="I478" s="17" t="s">
        <v>324</v>
      </c>
      <c r="J478" s="17" t="s">
        <v>325</v>
      </c>
      <c r="K478" s="17" t="n">
        <v>30</v>
      </c>
      <c r="L478" s="17" t="s">
        <v>61</v>
      </c>
      <c r="M478" s="17" t="s">
        <v>76</v>
      </c>
      <c r="N478" s="19" t="n">
        <v>10.99</v>
      </c>
      <c r="O478" s="19" t="n">
        <v>329.7</v>
      </c>
      <c r="P478" s="17" t="s">
        <v>33</v>
      </c>
      <c r="Q478" s="20" t="n">
        <f aca="false">DATE(D478,C478,B478)</f>
        <v>44393</v>
      </c>
      <c r="R478" s="17" t="str">
        <f aca="false">IF(HOUR(E478)&lt;6,"Madrugada (0-5 h)",IF(HOUR(E478)&lt;12,"Mañana (6-11 h)",IF(HOUR(E478)&lt;18,"Tarde (12-17 h)","Noche (18-23 h)")))</f>
        <v>Mañana (6-11 h)</v>
      </c>
    </row>
    <row r="479" customFormat="false" ht="15" hidden="false" customHeight="false" outlineLevel="0" collapsed="false">
      <c r="A479" s="17" t="n">
        <v>1478</v>
      </c>
      <c r="B479" s="17" t="n">
        <v>6</v>
      </c>
      <c r="C479" s="17" t="n">
        <v>10</v>
      </c>
      <c r="D479" s="17" t="n">
        <v>2022</v>
      </c>
      <c r="E479" s="18" t="n">
        <v>0.990972222222222</v>
      </c>
      <c r="F479" s="17" t="n">
        <v>4763</v>
      </c>
      <c r="G479" s="17" t="s">
        <v>188</v>
      </c>
      <c r="H479" s="17" t="s">
        <v>326</v>
      </c>
      <c r="I479" s="17" t="s">
        <v>190</v>
      </c>
      <c r="J479" s="17" t="s">
        <v>191</v>
      </c>
      <c r="K479" s="17" t="n">
        <v>2</v>
      </c>
      <c r="L479" s="17" t="s">
        <v>61</v>
      </c>
      <c r="M479" s="17" t="s">
        <v>76</v>
      </c>
      <c r="N479" s="19" t="n">
        <v>13.55</v>
      </c>
      <c r="O479" s="19" t="n">
        <v>27.1</v>
      </c>
      <c r="P479" s="17" t="s">
        <v>43</v>
      </c>
      <c r="Q479" s="20" t="n">
        <f aca="false">DATE(D479,C479,B479)</f>
        <v>44840</v>
      </c>
      <c r="R479" s="17" t="str">
        <f aca="false">IF(HOUR(E479)&lt;6,"Madrugada (0-5 h)",IF(HOUR(E479)&lt;12,"Mañana (6-11 h)",IF(HOUR(E479)&lt;18,"Tarde (12-17 h)","Noche (18-23 h)")))</f>
        <v>Noche (18-23 h)</v>
      </c>
    </row>
    <row r="480" customFormat="false" ht="15" hidden="false" customHeight="false" outlineLevel="0" collapsed="false">
      <c r="A480" s="17" t="n">
        <v>1479</v>
      </c>
      <c r="B480" s="17" t="n">
        <v>20</v>
      </c>
      <c r="C480" s="17" t="n">
        <v>8</v>
      </c>
      <c r="D480" s="17" t="n">
        <v>2022</v>
      </c>
      <c r="E480" s="18" t="n">
        <v>0.983668981481482</v>
      </c>
      <c r="F480" s="17" t="n">
        <v>2586</v>
      </c>
      <c r="G480" s="17" t="s">
        <v>327</v>
      </c>
      <c r="H480" s="17" t="s">
        <v>84</v>
      </c>
      <c r="I480" s="17" t="s">
        <v>222</v>
      </c>
      <c r="J480" s="17" t="s">
        <v>328</v>
      </c>
      <c r="K480" s="17" t="n">
        <v>10</v>
      </c>
      <c r="L480" s="17" t="s">
        <v>42</v>
      </c>
      <c r="M480" s="17" t="s">
        <v>32</v>
      </c>
      <c r="N480" s="19" t="n">
        <v>5.56</v>
      </c>
      <c r="O480" s="19" t="n">
        <v>55.6</v>
      </c>
      <c r="P480" s="17" t="s">
        <v>33</v>
      </c>
      <c r="Q480" s="20" t="n">
        <f aca="false">DATE(D480,C480,B480)</f>
        <v>44793</v>
      </c>
      <c r="R480" s="17" t="str">
        <f aca="false">IF(HOUR(E480)&lt;6,"Madrugada (0-5 h)",IF(HOUR(E480)&lt;12,"Mañana (6-11 h)",IF(HOUR(E480)&lt;18,"Tarde (12-17 h)","Noche (18-23 h)")))</f>
        <v>Noche (18-23 h)</v>
      </c>
    </row>
    <row r="481" customFormat="false" ht="15" hidden="false" customHeight="false" outlineLevel="0" collapsed="false">
      <c r="A481" s="17" t="n">
        <v>1480</v>
      </c>
      <c r="B481" s="17" t="n">
        <v>11</v>
      </c>
      <c r="C481" s="17" t="n">
        <v>2</v>
      </c>
      <c r="D481" s="17" t="n">
        <v>2021</v>
      </c>
      <c r="E481" s="18" t="n">
        <v>0.972662037037037</v>
      </c>
      <c r="F481" s="17" t="n">
        <v>2193</v>
      </c>
      <c r="G481" s="17" t="s">
        <v>329</v>
      </c>
      <c r="H481" s="17" t="s">
        <v>330</v>
      </c>
      <c r="I481" s="17" t="s">
        <v>331</v>
      </c>
      <c r="J481" s="17" t="s">
        <v>332</v>
      </c>
      <c r="K481" s="17" t="n">
        <v>20</v>
      </c>
      <c r="L481" s="17" t="s">
        <v>81</v>
      </c>
      <c r="M481" s="17" t="s">
        <v>333</v>
      </c>
      <c r="N481" s="19" t="n">
        <v>3.32</v>
      </c>
      <c r="O481" s="19" t="n">
        <v>66.4</v>
      </c>
      <c r="P481" s="17" t="s">
        <v>43</v>
      </c>
      <c r="Q481" s="20" t="n">
        <f aca="false">DATE(D481,C481,B481)</f>
        <v>44238</v>
      </c>
      <c r="R481" s="17" t="str">
        <f aca="false">IF(HOUR(E481)&lt;6,"Madrugada (0-5 h)",IF(HOUR(E481)&lt;12,"Mañana (6-11 h)",IF(HOUR(E481)&lt;18,"Tarde (12-17 h)","Noche (18-23 h)")))</f>
        <v>Noche (18-23 h)</v>
      </c>
    </row>
    <row r="482" customFormat="false" ht="15" hidden="false" customHeight="false" outlineLevel="0" collapsed="false">
      <c r="A482" s="17" t="n">
        <v>1481</v>
      </c>
      <c r="B482" s="17" t="n">
        <v>16</v>
      </c>
      <c r="C482" s="17" t="n">
        <v>3</v>
      </c>
      <c r="D482" s="17" t="n">
        <v>2022</v>
      </c>
      <c r="E482" s="18" t="n">
        <v>0.75369212962963</v>
      </c>
      <c r="F482" s="17" t="n">
        <v>4941</v>
      </c>
      <c r="G482" s="17" t="s">
        <v>334</v>
      </c>
      <c r="H482" s="17" t="s">
        <v>88</v>
      </c>
      <c r="I482" s="17" t="s">
        <v>335</v>
      </c>
      <c r="J482" s="17" t="s">
        <v>336</v>
      </c>
      <c r="K482" s="17" t="n">
        <v>26</v>
      </c>
      <c r="L482" s="17" t="s">
        <v>81</v>
      </c>
      <c r="M482" s="17" t="s">
        <v>333</v>
      </c>
      <c r="N482" s="19" t="n">
        <v>54</v>
      </c>
      <c r="O482" s="19" t="n">
        <v>1404</v>
      </c>
      <c r="P482" s="17" t="s">
        <v>33</v>
      </c>
      <c r="Q482" s="20" t="n">
        <f aca="false">DATE(D482,C482,B482)</f>
        <v>44636</v>
      </c>
      <c r="R482" s="17" t="str">
        <f aca="false">IF(HOUR(E482)&lt;6,"Madrugada (0-5 h)",IF(HOUR(E482)&lt;12,"Mañana (6-11 h)",IF(HOUR(E482)&lt;18,"Tarde (12-17 h)","Noche (18-23 h)")))</f>
        <v>Noche (18-23 h)</v>
      </c>
    </row>
    <row r="483" customFormat="false" ht="15" hidden="false" customHeight="false" outlineLevel="0" collapsed="false">
      <c r="A483" s="17" t="n">
        <v>1482</v>
      </c>
      <c r="B483" s="17" t="n">
        <v>20</v>
      </c>
      <c r="C483" s="17" t="n">
        <v>4</v>
      </c>
      <c r="D483" s="17" t="n">
        <v>2022</v>
      </c>
      <c r="E483" s="18" t="n">
        <v>0.700763888888889</v>
      </c>
      <c r="F483" s="17" t="n">
        <v>1039</v>
      </c>
      <c r="G483" s="17" t="s">
        <v>337</v>
      </c>
      <c r="H483" s="17" t="s">
        <v>338</v>
      </c>
      <c r="I483" s="17" t="s">
        <v>339</v>
      </c>
      <c r="J483" s="17" t="s">
        <v>340</v>
      </c>
      <c r="K483" s="17" t="n">
        <v>21</v>
      </c>
      <c r="L483" s="17" t="s">
        <v>81</v>
      </c>
      <c r="M483" s="17" t="s">
        <v>333</v>
      </c>
      <c r="N483" s="19" t="n">
        <v>13.42</v>
      </c>
      <c r="O483" s="19" t="n">
        <v>281.82</v>
      </c>
      <c r="P483" s="17" t="s">
        <v>33</v>
      </c>
      <c r="Q483" s="20" t="n">
        <f aca="false">DATE(D483,C483,B483)</f>
        <v>44671</v>
      </c>
      <c r="R483" s="17" t="str">
        <f aca="false">IF(HOUR(E483)&lt;6,"Madrugada (0-5 h)",IF(HOUR(E483)&lt;12,"Mañana (6-11 h)",IF(HOUR(E483)&lt;18,"Tarde (12-17 h)","Noche (18-23 h)")))</f>
        <v>Tarde (12-17 h)</v>
      </c>
    </row>
    <row r="484" customFormat="false" ht="15" hidden="false" customHeight="false" outlineLevel="0" collapsed="false">
      <c r="A484" s="17" t="n">
        <v>1483</v>
      </c>
      <c r="B484" s="17" t="n">
        <v>18</v>
      </c>
      <c r="C484" s="17" t="n">
        <v>4</v>
      </c>
      <c r="D484" s="17" t="n">
        <v>2021</v>
      </c>
      <c r="E484" s="18" t="n">
        <v>0.913715277777778</v>
      </c>
      <c r="F484" s="17" t="n">
        <v>4067</v>
      </c>
      <c r="G484" s="17" t="s">
        <v>341</v>
      </c>
      <c r="H484" s="17" t="s">
        <v>342</v>
      </c>
      <c r="I484" s="17" t="s">
        <v>343</v>
      </c>
      <c r="J484" s="17" t="s">
        <v>344</v>
      </c>
      <c r="K484" s="17" t="n">
        <v>6</v>
      </c>
      <c r="L484" s="17" t="s">
        <v>81</v>
      </c>
      <c r="M484" s="17" t="s">
        <v>333</v>
      </c>
      <c r="N484" s="19" t="n">
        <v>45.04</v>
      </c>
      <c r="O484" s="19" t="n">
        <v>270.24</v>
      </c>
      <c r="P484" s="17" t="s">
        <v>33</v>
      </c>
      <c r="Q484" s="20" t="n">
        <f aca="false">DATE(D484,C484,B484)</f>
        <v>44304</v>
      </c>
      <c r="R484" s="17" t="str">
        <f aca="false">IF(HOUR(E484)&lt;6,"Madrugada (0-5 h)",IF(HOUR(E484)&lt;12,"Mañana (6-11 h)",IF(HOUR(E484)&lt;18,"Tarde (12-17 h)","Noche (18-23 h)")))</f>
        <v>Noche (18-23 h)</v>
      </c>
    </row>
    <row r="485" customFormat="false" ht="15" hidden="false" customHeight="false" outlineLevel="0" collapsed="false">
      <c r="A485" s="17" t="n">
        <v>1484</v>
      </c>
      <c r="B485" s="17" t="n">
        <v>8</v>
      </c>
      <c r="C485" s="17" t="n">
        <v>4</v>
      </c>
      <c r="D485" s="17" t="n">
        <v>2022</v>
      </c>
      <c r="E485" s="18" t="n">
        <v>0.848344907407407</v>
      </c>
      <c r="F485" s="17" t="n">
        <v>2628</v>
      </c>
      <c r="G485" s="17" t="s">
        <v>345</v>
      </c>
      <c r="H485" s="17" t="s">
        <v>346</v>
      </c>
      <c r="I485" s="17" t="s">
        <v>347</v>
      </c>
      <c r="J485" s="17" t="s">
        <v>348</v>
      </c>
      <c r="K485" s="17" t="n">
        <v>42</v>
      </c>
      <c r="L485" s="17" t="s">
        <v>81</v>
      </c>
      <c r="M485" s="17" t="s">
        <v>32</v>
      </c>
      <c r="N485" s="19" t="n">
        <v>20.05</v>
      </c>
      <c r="O485" s="19" t="n">
        <v>842.1</v>
      </c>
      <c r="P485" s="17" t="s">
        <v>33</v>
      </c>
      <c r="Q485" s="20" t="n">
        <f aca="false">DATE(D485,C485,B485)</f>
        <v>44659</v>
      </c>
      <c r="R485" s="17" t="str">
        <f aca="false">IF(HOUR(E485)&lt;6,"Madrugada (0-5 h)",IF(HOUR(E485)&lt;12,"Mañana (6-11 h)",IF(HOUR(E485)&lt;18,"Tarde (12-17 h)","Noche (18-23 h)")))</f>
        <v>Noche (18-23 h)</v>
      </c>
    </row>
    <row r="486" customFormat="false" ht="15" hidden="false" customHeight="false" outlineLevel="0" collapsed="false">
      <c r="A486" s="17" t="n">
        <v>1485</v>
      </c>
      <c r="B486" s="17" t="n">
        <v>21</v>
      </c>
      <c r="C486" s="17" t="n">
        <v>12</v>
      </c>
      <c r="D486" s="17" t="n">
        <v>2022</v>
      </c>
      <c r="E486" s="18" t="n">
        <v>0.247361111111111</v>
      </c>
      <c r="F486" s="17" t="n">
        <v>1351</v>
      </c>
      <c r="G486" s="17" t="s">
        <v>349</v>
      </c>
      <c r="H486" s="17" t="s">
        <v>350</v>
      </c>
      <c r="I486" s="17" t="s">
        <v>351</v>
      </c>
      <c r="J486" s="17" t="s">
        <v>352</v>
      </c>
      <c r="K486" s="17" t="n">
        <v>48</v>
      </c>
      <c r="L486" s="17" t="s">
        <v>81</v>
      </c>
      <c r="M486" s="17" t="s">
        <v>32</v>
      </c>
      <c r="N486" s="19" t="n">
        <v>7.98</v>
      </c>
      <c r="O486" s="19" t="n">
        <v>383.04</v>
      </c>
      <c r="P486" s="17" t="s">
        <v>43</v>
      </c>
      <c r="Q486" s="20" t="n">
        <f aca="false">DATE(D486,C486,B486)</f>
        <v>44916</v>
      </c>
      <c r="R486" s="17" t="str">
        <f aca="false">IF(HOUR(E486)&lt;6,"Madrugada (0-5 h)",IF(HOUR(E486)&lt;12,"Mañana (6-11 h)",IF(HOUR(E486)&lt;18,"Tarde (12-17 h)","Noche (18-23 h)")))</f>
        <v>Madrugada (0-5 h)</v>
      </c>
    </row>
    <row r="487" customFormat="false" ht="15" hidden="false" customHeight="false" outlineLevel="0" collapsed="false">
      <c r="A487" s="17" t="n">
        <v>1486</v>
      </c>
      <c r="B487" s="17" t="n">
        <v>14</v>
      </c>
      <c r="C487" s="17" t="n">
        <v>6</v>
      </c>
      <c r="D487" s="17" t="n">
        <v>2021</v>
      </c>
      <c r="E487" s="18" t="n">
        <v>0.477303240740741</v>
      </c>
      <c r="F487" s="17" t="n">
        <v>4378</v>
      </c>
      <c r="G487" s="17" t="s">
        <v>353</v>
      </c>
      <c r="H487" s="17" t="s">
        <v>354</v>
      </c>
      <c r="I487" s="17" t="s">
        <v>355</v>
      </c>
      <c r="J487" s="17" t="s">
        <v>356</v>
      </c>
      <c r="K487" s="17" t="n">
        <v>10</v>
      </c>
      <c r="L487" s="17" t="s">
        <v>125</v>
      </c>
      <c r="M487" s="17" t="s">
        <v>82</v>
      </c>
      <c r="N487" s="19" t="n">
        <v>24.43</v>
      </c>
      <c r="O487" s="19" t="n">
        <v>244.3</v>
      </c>
      <c r="P487" s="17" t="s">
        <v>33</v>
      </c>
      <c r="Q487" s="20" t="n">
        <f aca="false">DATE(D487,C487,B487)</f>
        <v>44361</v>
      </c>
      <c r="R487" s="17" t="str">
        <f aca="false">IF(HOUR(E487)&lt;6,"Madrugada (0-5 h)",IF(HOUR(E487)&lt;12,"Mañana (6-11 h)",IF(HOUR(E487)&lt;18,"Tarde (12-17 h)","Noche (18-23 h)")))</f>
        <v>Mañana (6-11 h)</v>
      </c>
    </row>
    <row r="488" customFormat="false" ht="15" hidden="false" customHeight="false" outlineLevel="0" collapsed="false">
      <c r="A488" s="17" t="n">
        <v>1487</v>
      </c>
      <c r="B488" s="17" t="n">
        <v>18</v>
      </c>
      <c r="C488" s="17" t="n">
        <v>1</v>
      </c>
      <c r="D488" s="17" t="n">
        <v>2022</v>
      </c>
      <c r="E488" s="18" t="n">
        <v>0.51150462962963</v>
      </c>
      <c r="F488" s="17" t="n">
        <v>2314</v>
      </c>
      <c r="G488" s="17" t="s">
        <v>357</v>
      </c>
      <c r="H488" s="17" t="s">
        <v>358</v>
      </c>
      <c r="I488" s="17" t="s">
        <v>359</v>
      </c>
      <c r="J488" s="17" t="s">
        <v>360</v>
      </c>
      <c r="K488" s="17" t="n">
        <v>6</v>
      </c>
      <c r="L488" s="17" t="s">
        <v>81</v>
      </c>
      <c r="M488" s="17" t="s">
        <v>76</v>
      </c>
      <c r="N488" s="19" t="n">
        <v>6.3</v>
      </c>
      <c r="O488" s="19" t="n">
        <v>37.8</v>
      </c>
      <c r="P488" s="17" t="s">
        <v>33</v>
      </c>
      <c r="Q488" s="20" t="n">
        <f aca="false">DATE(D488,C488,B488)</f>
        <v>44579</v>
      </c>
      <c r="R488" s="17" t="str">
        <f aca="false">IF(HOUR(E488)&lt;6,"Madrugada (0-5 h)",IF(HOUR(E488)&lt;12,"Mañana (6-11 h)",IF(HOUR(E488)&lt;18,"Tarde (12-17 h)","Noche (18-23 h)")))</f>
        <v>Tarde (12-17 h)</v>
      </c>
    </row>
    <row r="489" customFormat="false" ht="15" hidden="false" customHeight="false" outlineLevel="0" collapsed="false">
      <c r="A489" s="17" t="n">
        <v>1488</v>
      </c>
      <c r="B489" s="17" t="n">
        <v>1</v>
      </c>
      <c r="C489" s="17" t="n">
        <v>3</v>
      </c>
      <c r="D489" s="17" t="n">
        <v>2021</v>
      </c>
      <c r="E489" s="18" t="n">
        <v>0.359861111111111</v>
      </c>
      <c r="F489" s="17" t="n">
        <v>4973</v>
      </c>
      <c r="G489" s="17" t="s">
        <v>361</v>
      </c>
      <c r="H489" s="17" t="s">
        <v>445</v>
      </c>
      <c r="I489" s="17" t="s">
        <v>363</v>
      </c>
      <c r="J489" s="17" t="s">
        <v>364</v>
      </c>
      <c r="K489" s="17" t="n">
        <v>10</v>
      </c>
      <c r="L489" s="17" t="s">
        <v>81</v>
      </c>
      <c r="M489" s="17" t="s">
        <v>76</v>
      </c>
      <c r="N489" s="19" t="n">
        <v>1.89</v>
      </c>
      <c r="O489" s="19" t="n">
        <v>18.9</v>
      </c>
      <c r="P489" s="17" t="s">
        <v>33</v>
      </c>
      <c r="Q489" s="20" t="n">
        <f aca="false">DATE(D489,C489,B489)</f>
        <v>44256</v>
      </c>
      <c r="R489" s="17" t="str">
        <f aca="false">IF(HOUR(E489)&lt;6,"Madrugada (0-5 h)",IF(HOUR(E489)&lt;12,"Mañana (6-11 h)",IF(HOUR(E489)&lt;18,"Tarde (12-17 h)","Noche (18-23 h)")))</f>
        <v>Mañana (6-11 h)</v>
      </c>
    </row>
    <row r="490" customFormat="false" ht="15" hidden="false" customHeight="false" outlineLevel="0" collapsed="false">
      <c r="A490" s="17" t="n">
        <v>1489</v>
      </c>
      <c r="B490" s="17" t="n">
        <v>6</v>
      </c>
      <c r="C490" s="17" t="n">
        <v>7</v>
      </c>
      <c r="D490" s="17" t="n">
        <v>2022</v>
      </c>
      <c r="E490" s="18" t="n">
        <v>0.0543981481481482</v>
      </c>
      <c r="F490" s="17" t="n">
        <v>2324</v>
      </c>
      <c r="G490" s="17" t="s">
        <v>365</v>
      </c>
      <c r="H490" s="17" t="s">
        <v>366</v>
      </c>
      <c r="I490" s="17" t="s">
        <v>367</v>
      </c>
      <c r="J490" s="17" t="s">
        <v>368</v>
      </c>
      <c r="K490" s="17" t="n">
        <v>35</v>
      </c>
      <c r="L490" s="17" t="s">
        <v>81</v>
      </c>
      <c r="M490" s="17" t="s">
        <v>32</v>
      </c>
      <c r="N490" s="19" t="n">
        <v>2.3</v>
      </c>
      <c r="O490" s="19" t="n">
        <v>80.5</v>
      </c>
      <c r="P490" s="17" t="s">
        <v>33</v>
      </c>
      <c r="Q490" s="20" t="n">
        <f aca="false">DATE(D490,C490,B490)</f>
        <v>44748</v>
      </c>
      <c r="R490" s="17" t="str">
        <f aca="false">IF(HOUR(E490)&lt;6,"Madrugada (0-5 h)",IF(HOUR(E490)&lt;12,"Mañana (6-11 h)",IF(HOUR(E490)&lt;18,"Tarde (12-17 h)","Noche (18-23 h)")))</f>
        <v>Madrugada (0-5 h)</v>
      </c>
    </row>
    <row r="491" customFormat="false" ht="15" hidden="false" customHeight="false" outlineLevel="0" collapsed="false">
      <c r="A491" s="17" t="n">
        <v>1490</v>
      </c>
      <c r="B491" s="17" t="n">
        <v>5</v>
      </c>
      <c r="C491" s="17" t="n">
        <v>9</v>
      </c>
      <c r="D491" s="17" t="n">
        <v>2021</v>
      </c>
      <c r="E491" s="18" t="n">
        <v>0.548148148148148</v>
      </c>
      <c r="F491" s="17" t="n">
        <v>2036</v>
      </c>
      <c r="G491" s="17" t="s">
        <v>369</v>
      </c>
      <c r="H491" s="17" t="s">
        <v>370</v>
      </c>
      <c r="I491" s="17" t="s">
        <v>371</v>
      </c>
      <c r="J491" s="17" t="s">
        <v>372</v>
      </c>
      <c r="K491" s="17" t="n">
        <v>16</v>
      </c>
      <c r="L491" s="17" t="s">
        <v>81</v>
      </c>
      <c r="M491" s="17" t="s">
        <v>32</v>
      </c>
      <c r="N491" s="19" t="n">
        <v>6.76</v>
      </c>
      <c r="O491" s="19" t="n">
        <v>108.16</v>
      </c>
      <c r="P491" s="17" t="s">
        <v>33</v>
      </c>
      <c r="Q491" s="20" t="n">
        <f aca="false">DATE(D491,C491,B491)</f>
        <v>44444</v>
      </c>
      <c r="R491" s="17" t="str">
        <f aca="false">IF(HOUR(E491)&lt;6,"Madrugada (0-5 h)",IF(HOUR(E491)&lt;12,"Mañana (6-11 h)",IF(HOUR(E491)&lt;18,"Tarde (12-17 h)","Noche (18-23 h)")))</f>
        <v>Tarde (12-17 h)</v>
      </c>
    </row>
    <row r="492" customFormat="false" ht="15" hidden="false" customHeight="false" outlineLevel="0" collapsed="false">
      <c r="A492" s="17" t="n">
        <v>1491</v>
      </c>
      <c r="B492" s="17" t="n">
        <v>19</v>
      </c>
      <c r="C492" s="17" t="n">
        <v>8</v>
      </c>
      <c r="D492" s="17" t="n">
        <v>2021</v>
      </c>
      <c r="E492" s="18" t="n">
        <v>0.23244212962963</v>
      </c>
      <c r="F492" s="17" t="n">
        <v>2500</v>
      </c>
      <c r="G492" s="17" t="s">
        <v>373</v>
      </c>
      <c r="H492" s="17" t="s">
        <v>374</v>
      </c>
      <c r="I492" s="17" t="s">
        <v>375</v>
      </c>
      <c r="J492" s="17" t="s">
        <v>376</v>
      </c>
      <c r="K492" s="17" t="n">
        <v>29</v>
      </c>
      <c r="L492" s="17" t="s">
        <v>81</v>
      </c>
      <c r="M492" s="17" t="s">
        <v>32</v>
      </c>
      <c r="N492" s="19" t="n">
        <v>7.3</v>
      </c>
      <c r="O492" s="19" t="n">
        <v>211.7</v>
      </c>
      <c r="P492" s="17" t="s">
        <v>43</v>
      </c>
      <c r="Q492" s="20" t="n">
        <f aca="false">DATE(D492,C492,B492)</f>
        <v>44427</v>
      </c>
      <c r="R492" s="17" t="str">
        <f aca="false">IF(HOUR(E492)&lt;6,"Madrugada (0-5 h)",IF(HOUR(E492)&lt;12,"Mañana (6-11 h)",IF(HOUR(E492)&lt;18,"Tarde (12-17 h)","Noche (18-23 h)")))</f>
        <v>Madrugada (0-5 h)</v>
      </c>
    </row>
    <row r="493" customFormat="false" ht="15" hidden="false" customHeight="false" outlineLevel="0" collapsed="false">
      <c r="A493" s="17" t="n">
        <v>1492</v>
      </c>
      <c r="B493" s="17" t="n">
        <v>8</v>
      </c>
      <c r="C493" s="17" t="n">
        <v>10</v>
      </c>
      <c r="D493" s="17" t="n">
        <v>2022</v>
      </c>
      <c r="E493" s="18" t="n">
        <v>0.565138888888889</v>
      </c>
      <c r="F493" s="17" t="n">
        <v>3933</v>
      </c>
      <c r="G493" s="17" t="s">
        <v>377</v>
      </c>
      <c r="H493" s="17" t="s">
        <v>137</v>
      </c>
      <c r="I493" s="17" t="s">
        <v>446</v>
      </c>
      <c r="J493" s="17" t="s">
        <v>379</v>
      </c>
      <c r="K493" s="17" t="n">
        <v>32</v>
      </c>
      <c r="L493" s="17" t="s">
        <v>81</v>
      </c>
      <c r="M493" s="17" t="s">
        <v>32</v>
      </c>
      <c r="N493" s="19" t="n">
        <v>6.3</v>
      </c>
      <c r="O493" s="19" t="n">
        <v>201.6</v>
      </c>
      <c r="P493" s="17" t="s">
        <v>33</v>
      </c>
      <c r="Q493" s="20" t="n">
        <f aca="false">DATE(D493,C493,B493)</f>
        <v>44842</v>
      </c>
      <c r="R493" s="17" t="str">
        <f aca="false">IF(HOUR(E493)&lt;6,"Madrugada (0-5 h)",IF(HOUR(E493)&lt;12,"Mañana (6-11 h)",IF(HOUR(E493)&lt;18,"Tarde (12-17 h)","Noche (18-23 h)")))</f>
        <v>Tarde (12-17 h)</v>
      </c>
    </row>
    <row r="494" customFormat="false" ht="15" hidden="false" customHeight="false" outlineLevel="0" collapsed="false">
      <c r="A494" s="17" t="n">
        <v>1493</v>
      </c>
      <c r="B494" s="17" t="n">
        <v>12</v>
      </c>
      <c r="C494" s="17" t="n">
        <v>6</v>
      </c>
      <c r="D494" s="17" t="n">
        <v>2022</v>
      </c>
      <c r="E494" s="18" t="n">
        <v>0.764733796296296</v>
      </c>
      <c r="F494" s="17" t="n">
        <v>3719</v>
      </c>
      <c r="G494" s="17" t="s">
        <v>380</v>
      </c>
      <c r="H494" s="17" t="s">
        <v>333</v>
      </c>
      <c r="I494" s="17" t="s">
        <v>381</v>
      </c>
      <c r="J494" s="17" t="s">
        <v>382</v>
      </c>
      <c r="K494" s="17" t="n">
        <v>26</v>
      </c>
      <c r="L494" s="17" t="s">
        <v>81</v>
      </c>
      <c r="M494" s="17" t="s">
        <v>76</v>
      </c>
      <c r="N494" s="19" t="n">
        <v>5.23</v>
      </c>
      <c r="O494" s="19" t="n">
        <v>135.98</v>
      </c>
      <c r="P494" s="17" t="s">
        <v>33</v>
      </c>
      <c r="Q494" s="20" t="n">
        <f aca="false">DATE(D494,C494,B494)</f>
        <v>44724</v>
      </c>
      <c r="R494" s="17" t="str">
        <f aca="false">IF(HOUR(E494)&lt;6,"Madrugada (0-5 h)",IF(HOUR(E494)&lt;12,"Mañana (6-11 h)",IF(HOUR(E494)&lt;18,"Tarde (12-17 h)","Noche (18-23 h)")))</f>
        <v>Noche (18-23 h)</v>
      </c>
    </row>
    <row r="495" customFormat="false" ht="15" hidden="false" customHeight="false" outlineLevel="0" collapsed="false">
      <c r="A495" s="17" t="n">
        <v>1494</v>
      </c>
      <c r="B495" s="17" t="n">
        <v>19</v>
      </c>
      <c r="C495" s="17" t="n">
        <v>9</v>
      </c>
      <c r="D495" s="17" t="n">
        <v>2022</v>
      </c>
      <c r="E495" s="18" t="n">
        <v>0.00885416666666667</v>
      </c>
      <c r="F495" s="17" t="n">
        <v>4890</v>
      </c>
      <c r="G495" s="17" t="s">
        <v>383</v>
      </c>
      <c r="H495" s="17" t="s">
        <v>384</v>
      </c>
      <c r="I495" s="17" t="s">
        <v>385</v>
      </c>
      <c r="J495" s="17" t="s">
        <v>386</v>
      </c>
      <c r="K495" s="17" t="n">
        <v>40</v>
      </c>
      <c r="L495" s="17" t="s">
        <v>31</v>
      </c>
      <c r="M495" s="17" t="s">
        <v>32</v>
      </c>
      <c r="N495" s="19" t="n">
        <v>2.01</v>
      </c>
      <c r="O495" s="19" t="n">
        <v>80.4</v>
      </c>
      <c r="P495" s="17" t="s">
        <v>33</v>
      </c>
      <c r="Q495" s="20" t="n">
        <f aca="false">DATE(D495,C495,B495)</f>
        <v>44823</v>
      </c>
      <c r="R495" s="17" t="str">
        <f aca="false">IF(HOUR(E495)&lt;6,"Madrugada (0-5 h)",IF(HOUR(E495)&lt;12,"Mañana (6-11 h)",IF(HOUR(E495)&lt;18,"Tarde (12-17 h)","Noche (18-23 h)")))</f>
        <v>Madrugada (0-5 h)</v>
      </c>
    </row>
    <row r="496" customFormat="false" ht="15" hidden="false" customHeight="false" outlineLevel="0" collapsed="false">
      <c r="A496" s="17" t="n">
        <v>1495</v>
      </c>
      <c r="B496" s="17" t="n">
        <v>3</v>
      </c>
      <c r="C496" s="17" t="n">
        <v>11</v>
      </c>
      <c r="D496" s="17" t="n">
        <v>2022</v>
      </c>
      <c r="E496" s="18" t="n">
        <v>0.895729166666667</v>
      </c>
      <c r="F496" s="17" t="n">
        <v>2839</v>
      </c>
      <c r="G496" s="17" t="s">
        <v>387</v>
      </c>
      <c r="H496" s="17" t="s">
        <v>447</v>
      </c>
      <c r="I496" s="17" t="s">
        <v>389</v>
      </c>
      <c r="J496" s="17" t="s">
        <v>390</v>
      </c>
      <c r="K496" s="17" t="n">
        <v>10</v>
      </c>
      <c r="L496" s="17" t="s">
        <v>61</v>
      </c>
      <c r="M496" s="17" t="s">
        <v>32</v>
      </c>
      <c r="N496" s="19" t="n">
        <v>14.37</v>
      </c>
      <c r="O496" s="19" t="n">
        <v>143.7</v>
      </c>
      <c r="P496" s="17" t="s">
        <v>33</v>
      </c>
      <c r="Q496" s="20" t="n">
        <f aca="false">DATE(D496,C496,B496)</f>
        <v>44868</v>
      </c>
      <c r="R496" s="17" t="str">
        <f aca="false">IF(HOUR(E496)&lt;6,"Madrugada (0-5 h)",IF(HOUR(E496)&lt;12,"Mañana (6-11 h)",IF(HOUR(E496)&lt;18,"Tarde (12-17 h)","Noche (18-23 h)")))</f>
        <v>Noche (18-23 h)</v>
      </c>
    </row>
    <row r="497" customFormat="false" ht="15" hidden="false" customHeight="false" outlineLevel="0" collapsed="false">
      <c r="A497" s="17" t="n">
        <v>1496</v>
      </c>
      <c r="B497" s="17" t="n">
        <v>23</v>
      </c>
      <c r="C497" s="17" t="n">
        <v>1</v>
      </c>
      <c r="D497" s="17" t="n">
        <v>2021</v>
      </c>
      <c r="E497" s="18" t="n">
        <v>0.145486111111111</v>
      </c>
      <c r="F497" s="17" t="n">
        <v>3530</v>
      </c>
      <c r="G497" s="17" t="s">
        <v>391</v>
      </c>
      <c r="H497" s="17" t="s">
        <v>392</v>
      </c>
      <c r="I497" s="17" t="s">
        <v>393</v>
      </c>
      <c r="J497" s="17" t="s">
        <v>394</v>
      </c>
      <c r="K497" s="17" t="n">
        <v>16</v>
      </c>
      <c r="L497" s="17" t="s">
        <v>61</v>
      </c>
      <c r="M497" s="17" t="s">
        <v>32</v>
      </c>
      <c r="N497" s="19" t="n">
        <v>2.03</v>
      </c>
      <c r="O497" s="19" t="n">
        <v>32.48</v>
      </c>
      <c r="P497" s="17" t="s">
        <v>33</v>
      </c>
      <c r="Q497" s="20" t="n">
        <f aca="false">DATE(D497,C497,B497)</f>
        <v>44219</v>
      </c>
      <c r="R497" s="17" t="str">
        <f aca="false">IF(HOUR(E497)&lt;6,"Madrugada (0-5 h)",IF(HOUR(E497)&lt;12,"Mañana (6-11 h)",IF(HOUR(E497)&lt;18,"Tarde (12-17 h)","Noche (18-23 h)")))</f>
        <v>Madrugada (0-5 h)</v>
      </c>
    </row>
    <row r="498" customFormat="false" ht="15" hidden="false" customHeight="false" outlineLevel="0" collapsed="false">
      <c r="A498" s="17" t="n">
        <v>1497</v>
      </c>
      <c r="B498" s="17" t="n">
        <v>21</v>
      </c>
      <c r="C498" s="17" t="n">
        <v>1</v>
      </c>
      <c r="D498" s="17" t="n">
        <v>2022</v>
      </c>
      <c r="E498" s="18" t="n">
        <v>0.768101851851852</v>
      </c>
      <c r="F498" s="17" t="n">
        <v>4371</v>
      </c>
      <c r="G498" s="17" t="s">
        <v>395</v>
      </c>
      <c r="H498" s="17" t="s">
        <v>396</v>
      </c>
      <c r="I498" s="17" t="s">
        <v>397</v>
      </c>
      <c r="J498" s="17" t="s">
        <v>398</v>
      </c>
      <c r="K498" s="17" t="n">
        <v>11</v>
      </c>
      <c r="L498" s="17" t="s">
        <v>61</v>
      </c>
      <c r="M498" s="17" t="s">
        <v>32</v>
      </c>
      <c r="N498" s="19" t="n">
        <v>16.45</v>
      </c>
      <c r="O498" s="19" t="n">
        <v>180.95</v>
      </c>
      <c r="P498" s="17" t="s">
        <v>33</v>
      </c>
      <c r="Q498" s="20" t="n">
        <f aca="false">DATE(D498,C498,B498)</f>
        <v>44582</v>
      </c>
      <c r="R498" s="17" t="str">
        <f aca="false">IF(HOUR(E498)&lt;6,"Madrugada (0-5 h)",IF(HOUR(E498)&lt;12,"Mañana (6-11 h)",IF(HOUR(E498)&lt;18,"Tarde (12-17 h)","Noche (18-23 h)")))</f>
        <v>Noche (18-23 h)</v>
      </c>
    </row>
    <row r="499" customFormat="false" ht="15" hidden="false" customHeight="false" outlineLevel="0" collapsed="false">
      <c r="A499" s="17" t="n">
        <v>1498</v>
      </c>
      <c r="B499" s="17" t="n">
        <v>8</v>
      </c>
      <c r="C499" s="17" t="n">
        <v>12</v>
      </c>
      <c r="D499" s="17" t="n">
        <v>2021</v>
      </c>
      <c r="E499" s="18" t="n">
        <v>0.780324074074074</v>
      </c>
      <c r="F499" s="17" t="n">
        <v>3765</v>
      </c>
      <c r="G499" s="17" t="s">
        <v>399</v>
      </c>
      <c r="H499" s="17" t="s">
        <v>400</v>
      </c>
      <c r="I499" s="17" t="s">
        <v>401</v>
      </c>
      <c r="J499" s="17" t="s">
        <v>402</v>
      </c>
      <c r="K499" s="17" t="n">
        <v>3</v>
      </c>
      <c r="L499" s="17" t="s">
        <v>98</v>
      </c>
      <c r="M499" s="17" t="s">
        <v>32</v>
      </c>
      <c r="N499" s="19" t="n">
        <v>15.52</v>
      </c>
      <c r="O499" s="19" t="n">
        <v>46.56</v>
      </c>
      <c r="P499" s="17" t="s">
        <v>43</v>
      </c>
      <c r="Q499" s="20" t="n">
        <f aca="false">DATE(D499,C499,B499)</f>
        <v>44538</v>
      </c>
      <c r="R499" s="17" t="str">
        <f aca="false">IF(HOUR(E499)&lt;6,"Madrugada (0-5 h)",IF(HOUR(E499)&lt;12,"Mañana (6-11 h)",IF(HOUR(E499)&lt;18,"Tarde (12-17 h)","Noche (18-23 h)")))</f>
        <v>Noche (18-23 h)</v>
      </c>
    </row>
    <row r="500" customFormat="false" ht="15" hidden="false" customHeight="false" outlineLevel="0" collapsed="false">
      <c r="A500" s="17" t="n">
        <v>1499</v>
      </c>
      <c r="B500" s="17" t="n">
        <v>4</v>
      </c>
      <c r="C500" s="17" t="n">
        <v>4</v>
      </c>
      <c r="D500" s="17" t="n">
        <v>2021</v>
      </c>
      <c r="E500" s="18" t="n">
        <v>0.846423611111111</v>
      </c>
      <c r="F500" s="17" t="n">
        <v>4209</v>
      </c>
      <c r="G500" s="17" t="s">
        <v>403</v>
      </c>
      <c r="H500" s="17" t="s">
        <v>404</v>
      </c>
      <c r="I500" s="17" t="s">
        <v>405</v>
      </c>
      <c r="J500" s="17" t="s">
        <v>406</v>
      </c>
      <c r="K500" s="17" t="n">
        <v>16</v>
      </c>
      <c r="L500" s="17" t="s">
        <v>31</v>
      </c>
      <c r="M500" s="17" t="s">
        <v>333</v>
      </c>
      <c r="N500" s="19" t="n">
        <v>5.98</v>
      </c>
      <c r="O500" s="19" t="n">
        <v>95.68</v>
      </c>
      <c r="P500" s="17" t="s">
        <v>43</v>
      </c>
      <c r="Q500" s="20" t="n">
        <f aca="false">DATE(D500,C500,B500)</f>
        <v>44290</v>
      </c>
      <c r="R500" s="17" t="str">
        <f aca="false">IF(HOUR(E500)&lt;6,"Madrugada (0-5 h)",IF(HOUR(E500)&lt;12,"Mañana (6-11 h)",IF(HOUR(E500)&lt;18,"Tarde (12-17 h)","Noche (18-23 h)")))</f>
        <v>Noche (18-23 h)</v>
      </c>
    </row>
    <row r="501" customFormat="false" ht="15" hidden="false" customHeight="false" outlineLevel="0" collapsed="false">
      <c r="A501" s="17" t="n">
        <v>1500</v>
      </c>
      <c r="B501" s="17" t="n">
        <v>17</v>
      </c>
      <c r="C501" s="17" t="n">
        <v>12</v>
      </c>
      <c r="D501" s="17" t="n">
        <v>2022</v>
      </c>
      <c r="E501" s="18" t="n">
        <v>0.808055555555556</v>
      </c>
      <c r="F501" s="17" t="n">
        <v>4731</v>
      </c>
      <c r="G501" s="17" t="s">
        <v>407</v>
      </c>
      <c r="H501" s="17" t="s">
        <v>408</v>
      </c>
      <c r="I501" s="17" t="s">
        <v>409</v>
      </c>
      <c r="J501" s="17" t="s">
        <v>410</v>
      </c>
      <c r="K501" s="17" t="n">
        <v>41</v>
      </c>
      <c r="L501" s="17" t="s">
        <v>81</v>
      </c>
      <c r="M501" s="17" t="s">
        <v>333</v>
      </c>
      <c r="N501" s="19" t="n">
        <v>0.5</v>
      </c>
      <c r="O501" s="19" t="n">
        <v>20.5</v>
      </c>
      <c r="P501" s="17" t="s">
        <v>33</v>
      </c>
      <c r="Q501" s="20" t="n">
        <f aca="false">DATE(D501,C501,B501)</f>
        <v>44912</v>
      </c>
      <c r="R501" s="17" t="str">
        <f aca="false">IF(HOUR(E501)&lt;6,"Madrugada (0-5 h)",IF(HOUR(E501)&lt;12,"Mañana (6-11 h)",IF(HOUR(E501)&lt;18,"Tarde (12-17 h)","Noche (18-23 h)")))</f>
        <v>Noche (18-23 h)</v>
      </c>
    </row>
    <row r="502" customFormat="false" ht="15" hidden="false" customHeight="false" outlineLevel="0" collapsed="false">
      <c r="A502" s="17" t="n">
        <v>1501</v>
      </c>
      <c r="B502" s="17" t="n">
        <v>21</v>
      </c>
      <c r="C502" s="17" t="n">
        <v>11</v>
      </c>
      <c r="D502" s="17" t="n">
        <v>2021</v>
      </c>
      <c r="E502" s="18" t="n">
        <v>0.450439814814815</v>
      </c>
      <c r="F502" s="17" t="n">
        <v>2954</v>
      </c>
      <c r="G502" s="17" t="s">
        <v>27</v>
      </c>
      <c r="H502" s="17" t="s">
        <v>28</v>
      </c>
      <c r="I502" s="17" t="s">
        <v>29</v>
      </c>
      <c r="J502" s="17" t="s">
        <v>30</v>
      </c>
      <c r="K502" s="17" t="n">
        <v>21</v>
      </c>
      <c r="L502" s="17" t="s">
        <v>31</v>
      </c>
      <c r="M502" s="17" t="s">
        <v>32</v>
      </c>
      <c r="N502" s="19" t="n">
        <v>3.56</v>
      </c>
      <c r="O502" s="19" t="n">
        <v>74.76</v>
      </c>
      <c r="P502" s="17" t="s">
        <v>33</v>
      </c>
      <c r="Q502" s="20" t="n">
        <f aca="false">DATE(D502,C502,B502)</f>
        <v>44521</v>
      </c>
      <c r="R502" s="17" t="str">
        <f aca="false">IF(HOUR(E502)&lt;6,"Madrugada (0-5 h)",IF(HOUR(E502)&lt;12,"Mañana (6-11 h)",IF(HOUR(E502)&lt;18,"Tarde (12-17 h)","Noche (18-23 h)")))</f>
        <v>Mañana (6-11 h)</v>
      </c>
    </row>
    <row r="503" customFormat="false" ht="15" hidden="false" customHeight="false" outlineLevel="0" collapsed="false">
      <c r="A503" s="17" t="n">
        <v>1502</v>
      </c>
      <c r="B503" s="17" t="n">
        <v>1</v>
      </c>
      <c r="C503" s="17" t="n">
        <v>12</v>
      </c>
      <c r="D503" s="17" t="n">
        <v>2021</v>
      </c>
      <c r="E503" s="18" t="n">
        <v>0.473726851851852</v>
      </c>
      <c r="F503" s="17" t="n">
        <v>1287</v>
      </c>
      <c r="G503" s="17" t="s">
        <v>34</v>
      </c>
      <c r="H503" s="17" t="s">
        <v>35</v>
      </c>
      <c r="I503" s="17" t="s">
        <v>36</v>
      </c>
      <c r="J503" s="17" t="s">
        <v>37</v>
      </c>
      <c r="K503" s="17" t="n">
        <v>16</v>
      </c>
      <c r="L503" s="17" t="s">
        <v>31</v>
      </c>
      <c r="M503" s="17" t="s">
        <v>32</v>
      </c>
      <c r="N503" s="19" t="n">
        <v>3.21</v>
      </c>
      <c r="O503" s="19" t="n">
        <v>51.36</v>
      </c>
      <c r="P503" s="17" t="s">
        <v>33</v>
      </c>
      <c r="Q503" s="20" t="n">
        <f aca="false">DATE(D503,C503,B503)</f>
        <v>44531</v>
      </c>
      <c r="R503" s="17" t="str">
        <f aca="false">IF(HOUR(E503)&lt;6,"Madrugada (0-5 h)",IF(HOUR(E503)&lt;12,"Mañana (6-11 h)",IF(HOUR(E503)&lt;18,"Tarde (12-17 h)","Noche (18-23 h)")))</f>
        <v>Mañana (6-11 h)</v>
      </c>
    </row>
    <row r="504" customFormat="false" ht="15" hidden="false" customHeight="false" outlineLevel="0" collapsed="false">
      <c r="A504" s="17" t="n">
        <v>1503</v>
      </c>
      <c r="B504" s="17" t="n">
        <v>14</v>
      </c>
      <c r="C504" s="17" t="n">
        <v>10</v>
      </c>
      <c r="D504" s="17" t="n">
        <v>2022</v>
      </c>
      <c r="E504" s="18" t="n">
        <v>0.950300925925926</v>
      </c>
      <c r="F504" s="17" t="n">
        <v>4880</v>
      </c>
      <c r="G504" s="17" t="s">
        <v>38</v>
      </c>
      <c r="H504" s="17" t="s">
        <v>448</v>
      </c>
      <c r="I504" s="17" t="s">
        <v>40</v>
      </c>
      <c r="J504" s="17" t="s">
        <v>41</v>
      </c>
      <c r="K504" s="17" t="n">
        <v>40</v>
      </c>
      <c r="L504" s="17" t="s">
        <v>42</v>
      </c>
      <c r="M504" s="17" t="s">
        <v>32</v>
      </c>
      <c r="N504" s="19" t="n">
        <v>12.36</v>
      </c>
      <c r="O504" s="19" t="n">
        <v>494.4</v>
      </c>
      <c r="P504" s="17" t="s">
        <v>43</v>
      </c>
      <c r="Q504" s="20" t="n">
        <f aca="false">DATE(D504,C504,B504)</f>
        <v>44848</v>
      </c>
      <c r="R504" s="17" t="str">
        <f aca="false">IF(HOUR(E504)&lt;6,"Madrugada (0-5 h)",IF(HOUR(E504)&lt;12,"Mañana (6-11 h)",IF(HOUR(E504)&lt;18,"Tarde (12-17 h)","Noche (18-23 h)")))</f>
        <v>Noche (18-23 h)</v>
      </c>
    </row>
    <row r="505" customFormat="false" ht="15" hidden="false" customHeight="false" outlineLevel="0" collapsed="false">
      <c r="A505" s="17" t="n">
        <v>1504</v>
      </c>
      <c r="B505" s="17" t="n">
        <v>2</v>
      </c>
      <c r="C505" s="17" t="n">
        <v>9</v>
      </c>
      <c r="D505" s="17" t="n">
        <v>2022</v>
      </c>
      <c r="E505" s="18" t="n">
        <v>0.680844907407407</v>
      </c>
      <c r="F505" s="17" t="n">
        <v>4427</v>
      </c>
      <c r="G505" s="17" t="s">
        <v>44</v>
      </c>
      <c r="H505" s="17" t="s">
        <v>45</v>
      </c>
      <c r="I505" s="17" t="s">
        <v>46</v>
      </c>
      <c r="J505" s="17" t="s">
        <v>47</v>
      </c>
      <c r="K505" s="17" t="n">
        <v>47</v>
      </c>
      <c r="L505" s="17" t="s">
        <v>31</v>
      </c>
      <c r="M505" s="17" t="s">
        <v>48</v>
      </c>
      <c r="N505" s="19" t="n">
        <v>10.03</v>
      </c>
      <c r="O505" s="19" t="n">
        <v>471.41</v>
      </c>
      <c r="P505" s="17" t="s">
        <v>33</v>
      </c>
      <c r="Q505" s="20" t="n">
        <f aca="false">DATE(D505,C505,B505)</f>
        <v>44806</v>
      </c>
      <c r="R505" s="17" t="str">
        <f aca="false">IF(HOUR(E505)&lt;6,"Madrugada (0-5 h)",IF(HOUR(E505)&lt;12,"Mañana (6-11 h)",IF(HOUR(E505)&lt;18,"Tarde (12-17 h)","Noche (18-23 h)")))</f>
        <v>Tarde (12-17 h)</v>
      </c>
    </row>
    <row r="506" customFormat="false" ht="15" hidden="false" customHeight="false" outlineLevel="0" collapsed="false">
      <c r="A506" s="17" t="n">
        <v>1505</v>
      </c>
      <c r="B506" s="17" t="n">
        <v>14</v>
      </c>
      <c r="C506" s="17" t="n">
        <v>11</v>
      </c>
      <c r="D506" s="17" t="n">
        <v>2021</v>
      </c>
      <c r="E506" s="18" t="n">
        <v>0.497951388888889</v>
      </c>
      <c r="F506" s="17" t="n">
        <v>2277</v>
      </c>
      <c r="G506" s="17" t="s">
        <v>49</v>
      </c>
      <c r="H506" s="17" t="s">
        <v>50</v>
      </c>
      <c r="I506" s="17" t="s">
        <v>51</v>
      </c>
      <c r="J506" s="17" t="s">
        <v>52</v>
      </c>
      <c r="K506" s="17" t="n">
        <v>12</v>
      </c>
      <c r="L506" s="17" t="s">
        <v>31</v>
      </c>
      <c r="M506" s="17" t="s">
        <v>48</v>
      </c>
      <c r="N506" s="19" t="n">
        <v>16.05</v>
      </c>
      <c r="O506" s="19" t="n">
        <v>192.6</v>
      </c>
      <c r="P506" s="17" t="s">
        <v>33</v>
      </c>
      <c r="Q506" s="20" t="n">
        <f aca="false">DATE(D506,C506,B506)</f>
        <v>44514</v>
      </c>
      <c r="R506" s="17" t="str">
        <f aca="false">IF(HOUR(E506)&lt;6,"Madrugada (0-5 h)",IF(HOUR(E506)&lt;12,"Mañana (6-11 h)",IF(HOUR(E506)&lt;18,"Tarde (12-17 h)","Noche (18-23 h)")))</f>
        <v>Mañana (6-11 h)</v>
      </c>
    </row>
    <row r="507" customFormat="false" ht="15" hidden="false" customHeight="false" outlineLevel="0" collapsed="false">
      <c r="A507" s="17" t="n">
        <v>1506</v>
      </c>
      <c r="B507" s="17" t="n">
        <v>14</v>
      </c>
      <c r="C507" s="17" t="n">
        <v>2</v>
      </c>
      <c r="D507" s="17" t="n">
        <v>2022</v>
      </c>
      <c r="E507" s="18" t="n">
        <v>0.086412037037037</v>
      </c>
      <c r="F507" s="17" t="n">
        <v>4108</v>
      </c>
      <c r="G507" s="17" t="s">
        <v>53</v>
      </c>
      <c r="H507" s="17" t="s">
        <v>54</v>
      </c>
      <c r="I507" s="17" t="s">
        <v>55</v>
      </c>
      <c r="J507" s="17" t="s">
        <v>56</v>
      </c>
      <c r="K507" s="17" t="n">
        <v>21</v>
      </c>
      <c r="L507" s="17" t="s">
        <v>31</v>
      </c>
      <c r="M507" s="17" t="s">
        <v>48</v>
      </c>
      <c r="N507" s="19" t="n">
        <v>16.5</v>
      </c>
      <c r="O507" s="19" t="n">
        <v>346.5</v>
      </c>
      <c r="P507" s="17" t="s">
        <v>33</v>
      </c>
      <c r="Q507" s="20" t="n">
        <f aca="false">DATE(D507,C507,B507)</f>
        <v>44606</v>
      </c>
      <c r="R507" s="17" t="str">
        <f aca="false">IF(HOUR(E507)&lt;6,"Madrugada (0-5 h)",IF(HOUR(E507)&lt;12,"Mañana (6-11 h)",IF(HOUR(E507)&lt;18,"Tarde (12-17 h)","Noche (18-23 h)")))</f>
        <v>Madrugada (0-5 h)</v>
      </c>
    </row>
    <row r="508" customFormat="false" ht="15" hidden="false" customHeight="false" outlineLevel="0" collapsed="false">
      <c r="A508" s="17" t="n">
        <v>1507</v>
      </c>
      <c r="B508" s="17" t="n">
        <v>12</v>
      </c>
      <c r="C508" s="17" t="n">
        <v>2</v>
      </c>
      <c r="D508" s="17" t="n">
        <v>2021</v>
      </c>
      <c r="E508" s="18" t="n">
        <v>0.24244212962963</v>
      </c>
      <c r="F508" s="17" t="n">
        <v>2656</v>
      </c>
      <c r="G508" s="17" t="s">
        <v>57</v>
      </c>
      <c r="H508" s="17" t="s">
        <v>58</v>
      </c>
      <c r="I508" s="17" t="s">
        <v>59</v>
      </c>
      <c r="J508" s="17" t="s">
        <v>60</v>
      </c>
      <c r="K508" s="17" t="n">
        <v>15</v>
      </c>
      <c r="L508" s="17" t="s">
        <v>61</v>
      </c>
      <c r="M508" s="17" t="s">
        <v>62</v>
      </c>
      <c r="N508" s="19" t="n">
        <v>4.13</v>
      </c>
      <c r="O508" s="19" t="n">
        <v>61.95</v>
      </c>
      <c r="P508" s="17" t="s">
        <v>43</v>
      </c>
      <c r="Q508" s="20" t="n">
        <f aca="false">DATE(D508,C508,B508)</f>
        <v>44239</v>
      </c>
      <c r="R508" s="17" t="str">
        <f aca="false">IF(HOUR(E508)&lt;6,"Madrugada (0-5 h)",IF(HOUR(E508)&lt;12,"Mañana (6-11 h)",IF(HOUR(E508)&lt;18,"Tarde (12-17 h)","Noche (18-23 h)")))</f>
        <v>Madrugada (0-5 h)</v>
      </c>
    </row>
    <row r="509" customFormat="false" ht="15" hidden="false" customHeight="false" outlineLevel="0" collapsed="false">
      <c r="A509" s="17" t="n">
        <v>1508</v>
      </c>
      <c r="B509" s="17" t="n">
        <v>26</v>
      </c>
      <c r="C509" s="17" t="n">
        <v>12</v>
      </c>
      <c r="D509" s="17" t="n">
        <v>2021</v>
      </c>
      <c r="E509" s="18" t="n">
        <v>0.436585648148148</v>
      </c>
      <c r="F509" s="17" t="n">
        <v>2463</v>
      </c>
      <c r="G509" s="17" t="s">
        <v>63</v>
      </c>
      <c r="H509" s="17" t="s">
        <v>64</v>
      </c>
      <c r="I509" s="17" t="s">
        <v>65</v>
      </c>
      <c r="J509" s="17" t="s">
        <v>66</v>
      </c>
      <c r="K509" s="17" t="n">
        <v>7</v>
      </c>
      <c r="L509" s="17" t="s">
        <v>61</v>
      </c>
      <c r="M509" s="17" t="s">
        <v>32</v>
      </c>
      <c r="N509" s="19" t="n">
        <v>11.5</v>
      </c>
      <c r="O509" s="19" t="n">
        <v>80.5</v>
      </c>
      <c r="P509" s="17" t="s">
        <v>33</v>
      </c>
      <c r="Q509" s="20" t="n">
        <f aca="false">DATE(D509,C509,B509)</f>
        <v>44556</v>
      </c>
      <c r="R509" s="17" t="str">
        <f aca="false">IF(HOUR(E509)&lt;6,"Madrugada (0-5 h)",IF(HOUR(E509)&lt;12,"Mañana (6-11 h)",IF(HOUR(E509)&lt;18,"Tarde (12-17 h)","Noche (18-23 h)")))</f>
        <v>Mañana (6-11 h)</v>
      </c>
    </row>
    <row r="510" customFormat="false" ht="15" hidden="false" customHeight="false" outlineLevel="0" collapsed="false">
      <c r="A510" s="17" t="n">
        <v>1509</v>
      </c>
      <c r="B510" s="17" t="n">
        <v>20</v>
      </c>
      <c r="C510" s="17" t="n">
        <v>7</v>
      </c>
      <c r="D510" s="17" t="n">
        <v>2021</v>
      </c>
      <c r="E510" s="18" t="n">
        <v>0.595081018518519</v>
      </c>
      <c r="F510" s="17" t="n">
        <v>1409</v>
      </c>
      <c r="G510" s="17" t="s">
        <v>67</v>
      </c>
      <c r="H510" s="17" t="s">
        <v>68</v>
      </c>
      <c r="I510" s="17" t="s">
        <v>69</v>
      </c>
      <c r="J510" s="17" t="s">
        <v>70</v>
      </c>
      <c r="K510" s="17" t="n">
        <v>36</v>
      </c>
      <c r="L510" s="17" t="s">
        <v>31</v>
      </c>
      <c r="M510" s="17" t="s">
        <v>71</v>
      </c>
      <c r="N510" s="19" t="n">
        <v>5.5</v>
      </c>
      <c r="O510" s="19" t="n">
        <v>198</v>
      </c>
      <c r="P510" s="17" t="s">
        <v>33</v>
      </c>
      <c r="Q510" s="20" t="n">
        <f aca="false">DATE(D510,C510,B510)</f>
        <v>44397</v>
      </c>
      <c r="R510" s="17" t="str">
        <f aca="false">IF(HOUR(E510)&lt;6,"Madrugada (0-5 h)",IF(HOUR(E510)&lt;12,"Mañana (6-11 h)",IF(HOUR(E510)&lt;18,"Tarde (12-17 h)","Noche (18-23 h)")))</f>
        <v>Tarde (12-17 h)</v>
      </c>
    </row>
    <row r="511" customFormat="false" ht="15" hidden="false" customHeight="false" outlineLevel="0" collapsed="false">
      <c r="A511" s="17" t="n">
        <v>1510</v>
      </c>
      <c r="B511" s="17" t="n">
        <v>16</v>
      </c>
      <c r="C511" s="17" t="n">
        <v>2</v>
      </c>
      <c r="D511" s="17" t="n">
        <v>2021</v>
      </c>
      <c r="E511" s="18" t="n">
        <v>0.3490625</v>
      </c>
      <c r="F511" s="17" t="n">
        <v>4786</v>
      </c>
      <c r="G511" s="17" t="s">
        <v>72</v>
      </c>
      <c r="H511" s="17" t="s">
        <v>73</v>
      </c>
      <c r="I511" s="17" t="s">
        <v>74</v>
      </c>
      <c r="J511" s="17" t="s">
        <v>75</v>
      </c>
      <c r="K511" s="17" t="n">
        <v>23</v>
      </c>
      <c r="L511" s="17" t="s">
        <v>61</v>
      </c>
      <c r="M511" s="17" t="s">
        <v>76</v>
      </c>
      <c r="N511" s="19" t="n">
        <v>13.71</v>
      </c>
      <c r="O511" s="19" t="n">
        <v>315.33</v>
      </c>
      <c r="P511" s="17" t="s">
        <v>33</v>
      </c>
      <c r="Q511" s="20" t="n">
        <f aca="false">DATE(D511,C511,B511)</f>
        <v>44243</v>
      </c>
      <c r="R511" s="17" t="str">
        <f aca="false">IF(HOUR(E511)&lt;6,"Madrugada (0-5 h)",IF(HOUR(E511)&lt;12,"Mañana (6-11 h)",IF(HOUR(E511)&lt;18,"Tarde (12-17 h)","Noche (18-23 h)")))</f>
        <v>Mañana (6-11 h)</v>
      </c>
    </row>
    <row r="512" customFormat="false" ht="15" hidden="false" customHeight="false" outlineLevel="0" collapsed="false">
      <c r="A512" s="17" t="n">
        <v>1511</v>
      </c>
      <c r="B512" s="17" t="n">
        <v>21</v>
      </c>
      <c r="C512" s="17" t="n">
        <v>12</v>
      </c>
      <c r="D512" s="17" t="n">
        <v>2022</v>
      </c>
      <c r="E512" s="18" t="n">
        <v>0.0120601851851852</v>
      </c>
      <c r="F512" s="17" t="n">
        <v>2547</v>
      </c>
      <c r="G512" s="17" t="s">
        <v>77</v>
      </c>
      <c r="H512" s="17" t="s">
        <v>78</v>
      </c>
      <c r="I512" s="17" t="s">
        <v>79</v>
      </c>
      <c r="J512" s="17" t="s">
        <v>80</v>
      </c>
      <c r="K512" s="17" t="n">
        <v>33</v>
      </c>
      <c r="L512" s="17" t="s">
        <v>412</v>
      </c>
      <c r="M512" s="17" t="s">
        <v>82</v>
      </c>
      <c r="N512" s="19" t="n">
        <v>7.89</v>
      </c>
      <c r="O512" s="19" t="n">
        <v>260.37</v>
      </c>
      <c r="P512" s="17" t="s">
        <v>33</v>
      </c>
      <c r="Q512" s="20" t="n">
        <f aca="false">DATE(D512,C512,B512)</f>
        <v>44916</v>
      </c>
      <c r="R512" s="17" t="str">
        <f aca="false">IF(HOUR(E512)&lt;6,"Madrugada (0-5 h)",IF(HOUR(E512)&lt;12,"Mañana (6-11 h)",IF(HOUR(E512)&lt;18,"Tarde (12-17 h)","Noche (18-23 h)")))</f>
        <v>Madrugada (0-5 h)</v>
      </c>
    </row>
    <row r="513" customFormat="false" ht="15" hidden="false" customHeight="false" outlineLevel="0" collapsed="false">
      <c r="A513" s="17" t="n">
        <v>1512</v>
      </c>
      <c r="B513" s="17" t="n">
        <v>2</v>
      </c>
      <c r="C513" s="17" t="n">
        <v>3</v>
      </c>
      <c r="D513" s="17" t="n">
        <v>2022</v>
      </c>
      <c r="E513" s="18" t="n">
        <v>0.804016203703704</v>
      </c>
      <c r="F513" s="17" t="n">
        <v>3811</v>
      </c>
      <c r="G513" s="17" t="s">
        <v>83</v>
      </c>
      <c r="H513" s="17" t="s">
        <v>84</v>
      </c>
      <c r="I513" s="17" t="s">
        <v>85</v>
      </c>
      <c r="J513" s="17" t="s">
        <v>86</v>
      </c>
      <c r="K513" s="17" t="n">
        <v>13</v>
      </c>
      <c r="L513" s="17" t="s">
        <v>42</v>
      </c>
      <c r="M513" s="17" t="s">
        <v>32</v>
      </c>
      <c r="N513" s="19" t="n">
        <v>6</v>
      </c>
      <c r="O513" s="19" t="n">
        <v>78</v>
      </c>
      <c r="P513" s="17" t="s">
        <v>43</v>
      </c>
      <c r="Q513" s="20" t="n">
        <f aca="false">DATE(D513,C513,B513)</f>
        <v>44622</v>
      </c>
      <c r="R513" s="17" t="str">
        <f aca="false">IF(HOUR(E513)&lt;6,"Madrugada (0-5 h)",IF(HOUR(E513)&lt;12,"Mañana (6-11 h)",IF(HOUR(E513)&lt;18,"Tarde (12-17 h)","Noche (18-23 h)")))</f>
        <v>Noche (18-23 h)</v>
      </c>
    </row>
    <row r="514" customFormat="false" ht="15" hidden="false" customHeight="false" outlineLevel="0" collapsed="false">
      <c r="A514" s="17" t="n">
        <v>1513</v>
      </c>
      <c r="B514" s="17" t="n">
        <v>1</v>
      </c>
      <c r="C514" s="17" t="n">
        <v>1</v>
      </c>
      <c r="D514" s="17" t="n">
        <v>2022</v>
      </c>
      <c r="E514" s="18" t="n">
        <v>0.140833333333333</v>
      </c>
      <c r="F514" s="17" t="n">
        <v>2586</v>
      </c>
      <c r="G514" s="17" t="s">
        <v>87</v>
      </c>
      <c r="H514" s="17" t="s">
        <v>88</v>
      </c>
      <c r="I514" s="17" t="s">
        <v>89</v>
      </c>
      <c r="J514" s="17" t="s">
        <v>90</v>
      </c>
      <c r="K514" s="17" t="n">
        <v>38</v>
      </c>
      <c r="L514" s="17" t="s">
        <v>31</v>
      </c>
      <c r="M514" s="17" t="s">
        <v>48</v>
      </c>
      <c r="N514" s="19" t="n">
        <v>13.54</v>
      </c>
      <c r="O514" s="19" t="n">
        <v>514.52</v>
      </c>
      <c r="P514" s="17" t="s">
        <v>33</v>
      </c>
      <c r="Q514" s="20" t="n">
        <f aca="false">DATE(D514,C514,B514)</f>
        <v>44562</v>
      </c>
      <c r="R514" s="17" t="str">
        <f aca="false">IF(HOUR(E514)&lt;6,"Madrugada (0-5 h)",IF(HOUR(E514)&lt;12,"Mañana (6-11 h)",IF(HOUR(E514)&lt;18,"Tarde (12-17 h)","Noche (18-23 h)")))</f>
        <v>Madrugada (0-5 h)</v>
      </c>
    </row>
    <row r="515" customFormat="false" ht="15" hidden="false" customHeight="false" outlineLevel="0" collapsed="false">
      <c r="A515" s="17" t="n">
        <v>1514</v>
      </c>
      <c r="B515" s="17" t="n">
        <v>12</v>
      </c>
      <c r="C515" s="17" t="n">
        <v>11</v>
      </c>
      <c r="D515" s="17" t="n">
        <v>2021</v>
      </c>
      <c r="E515" s="18" t="n">
        <v>0.703773148148148</v>
      </c>
      <c r="F515" s="17" t="n">
        <v>2567</v>
      </c>
      <c r="G515" s="17" t="s">
        <v>91</v>
      </c>
      <c r="H515" s="17" t="s">
        <v>92</v>
      </c>
      <c r="I515" s="17" t="s">
        <v>93</v>
      </c>
      <c r="J515" s="17" t="s">
        <v>94</v>
      </c>
      <c r="K515" s="17" t="n">
        <v>9</v>
      </c>
      <c r="L515" s="17" t="s">
        <v>61</v>
      </c>
      <c r="M515" s="17" t="s">
        <v>32</v>
      </c>
      <c r="N515" s="19" t="n">
        <v>4.12</v>
      </c>
      <c r="O515" s="19" t="n">
        <v>37.08</v>
      </c>
      <c r="P515" s="17" t="s">
        <v>33</v>
      </c>
      <c r="Q515" s="20" t="n">
        <f aca="false">DATE(D515,C515,B515)</f>
        <v>44512</v>
      </c>
      <c r="R515" s="17" t="str">
        <f aca="false">IF(HOUR(E515)&lt;6,"Madrugada (0-5 h)",IF(HOUR(E515)&lt;12,"Mañana (6-11 h)",IF(HOUR(E515)&lt;18,"Tarde (12-17 h)","Noche (18-23 h)")))</f>
        <v>Tarde (12-17 h)</v>
      </c>
    </row>
    <row r="516" customFormat="false" ht="15" hidden="false" customHeight="false" outlineLevel="0" collapsed="false">
      <c r="A516" s="17" t="n">
        <v>1515</v>
      </c>
      <c r="B516" s="17" t="n">
        <v>23</v>
      </c>
      <c r="C516" s="17" t="n">
        <v>5</v>
      </c>
      <c r="D516" s="17" t="n">
        <v>2021</v>
      </c>
      <c r="E516" s="18" t="n">
        <v>0.0849305555555556</v>
      </c>
      <c r="F516" s="17" t="n">
        <v>2937</v>
      </c>
      <c r="G516" s="17" t="s">
        <v>95</v>
      </c>
      <c r="H516" s="17" t="s">
        <v>96</v>
      </c>
      <c r="I516" s="17" t="s">
        <v>97</v>
      </c>
      <c r="J516" s="17" t="s">
        <v>97</v>
      </c>
      <c r="K516" s="17" t="n">
        <v>44</v>
      </c>
      <c r="L516" s="17" t="s">
        <v>98</v>
      </c>
      <c r="M516" s="17" t="s">
        <v>48</v>
      </c>
      <c r="N516" s="19" t="n">
        <v>4.33</v>
      </c>
      <c r="O516" s="19" t="n">
        <v>190.52</v>
      </c>
      <c r="P516" s="17" t="s">
        <v>33</v>
      </c>
      <c r="Q516" s="20" t="n">
        <f aca="false">DATE(D516,C516,B516)</f>
        <v>44339</v>
      </c>
      <c r="R516" s="17" t="str">
        <f aca="false">IF(HOUR(E516)&lt;6,"Madrugada (0-5 h)",IF(HOUR(E516)&lt;12,"Mañana (6-11 h)",IF(HOUR(E516)&lt;18,"Tarde (12-17 h)","Noche (18-23 h)")))</f>
        <v>Madrugada (0-5 h)</v>
      </c>
    </row>
    <row r="517" customFormat="false" ht="15" hidden="false" customHeight="false" outlineLevel="0" collapsed="false">
      <c r="A517" s="17" t="n">
        <v>1516</v>
      </c>
      <c r="B517" s="17" t="n">
        <v>13</v>
      </c>
      <c r="C517" s="17" t="n">
        <v>9</v>
      </c>
      <c r="D517" s="17" t="n">
        <v>2021</v>
      </c>
      <c r="E517" s="18" t="n">
        <v>0.690462962962963</v>
      </c>
      <c r="F517" s="17" t="n">
        <v>3609</v>
      </c>
      <c r="G517" s="17" t="s">
        <v>99</v>
      </c>
      <c r="H517" s="17" t="s">
        <v>100</v>
      </c>
      <c r="I517" s="17" t="s">
        <v>101</v>
      </c>
      <c r="J517" s="17" t="s">
        <v>102</v>
      </c>
      <c r="K517" s="17" t="n">
        <v>28</v>
      </c>
      <c r="L517" s="17" t="s">
        <v>103</v>
      </c>
      <c r="M517" s="17" t="s">
        <v>32</v>
      </c>
      <c r="N517" s="19" t="n">
        <v>6.97</v>
      </c>
      <c r="O517" s="19" t="n">
        <v>195.16</v>
      </c>
      <c r="P517" s="17" t="s">
        <v>43</v>
      </c>
      <c r="Q517" s="20" t="n">
        <f aca="false">DATE(D517,C517,B517)</f>
        <v>44452</v>
      </c>
      <c r="R517" s="17" t="str">
        <f aca="false">IF(HOUR(E517)&lt;6,"Madrugada (0-5 h)",IF(HOUR(E517)&lt;12,"Mañana (6-11 h)",IF(HOUR(E517)&lt;18,"Tarde (12-17 h)","Noche (18-23 h)")))</f>
        <v>Tarde (12-17 h)</v>
      </c>
    </row>
    <row r="518" customFormat="false" ht="15" hidden="false" customHeight="false" outlineLevel="0" collapsed="false">
      <c r="A518" s="17" t="n">
        <v>1517</v>
      </c>
      <c r="B518" s="17" t="n">
        <v>11</v>
      </c>
      <c r="C518" s="17" t="n">
        <v>2</v>
      </c>
      <c r="D518" s="17" t="n">
        <v>2021</v>
      </c>
      <c r="E518" s="18" t="n">
        <v>0.773865740740741</v>
      </c>
      <c r="F518" s="17" t="n">
        <v>4241</v>
      </c>
      <c r="G518" s="17" t="s">
        <v>104</v>
      </c>
      <c r="H518" s="17" t="s">
        <v>105</v>
      </c>
      <c r="I518" s="17" t="s">
        <v>106</v>
      </c>
      <c r="J518" s="17" t="s">
        <v>107</v>
      </c>
      <c r="K518" s="17" t="n">
        <v>47</v>
      </c>
      <c r="L518" s="17" t="s">
        <v>31</v>
      </c>
      <c r="M518" s="17" t="s">
        <v>32</v>
      </c>
      <c r="N518" s="19" t="n">
        <v>4.45</v>
      </c>
      <c r="O518" s="19" t="n">
        <v>209.15</v>
      </c>
      <c r="P518" s="17" t="s">
        <v>33</v>
      </c>
      <c r="Q518" s="20" t="n">
        <f aca="false">DATE(D518,C518,B518)</f>
        <v>44238</v>
      </c>
      <c r="R518" s="17" t="str">
        <f aca="false">IF(HOUR(E518)&lt;6,"Madrugada (0-5 h)",IF(HOUR(E518)&lt;12,"Mañana (6-11 h)",IF(HOUR(E518)&lt;18,"Tarde (12-17 h)","Noche (18-23 h)")))</f>
        <v>Noche (18-23 h)</v>
      </c>
    </row>
    <row r="519" customFormat="false" ht="15" hidden="false" customHeight="false" outlineLevel="0" collapsed="false">
      <c r="A519" s="17" t="n">
        <v>1518</v>
      </c>
      <c r="B519" s="17" t="n">
        <v>19</v>
      </c>
      <c r="C519" s="17" t="n">
        <v>12</v>
      </c>
      <c r="D519" s="17" t="n">
        <v>2021</v>
      </c>
      <c r="E519" s="18" t="n">
        <v>0.652037037037037</v>
      </c>
      <c r="F519" s="17" t="n">
        <v>3748</v>
      </c>
      <c r="G519" s="17" t="s">
        <v>108</v>
      </c>
      <c r="H519" s="17" t="s">
        <v>109</v>
      </c>
      <c r="I519" s="17" t="s">
        <v>110</v>
      </c>
      <c r="J519" s="17" t="s">
        <v>111</v>
      </c>
      <c r="K519" s="17" t="n">
        <v>21</v>
      </c>
      <c r="L519" s="17" t="s">
        <v>81</v>
      </c>
      <c r="M519" s="17" t="s">
        <v>82</v>
      </c>
      <c r="N519" s="19" t="n">
        <v>6.5</v>
      </c>
      <c r="O519" s="19" t="n">
        <v>136.5</v>
      </c>
      <c r="P519" s="17" t="s">
        <v>43</v>
      </c>
      <c r="Q519" s="20" t="n">
        <f aca="false">DATE(D519,C519,B519)</f>
        <v>44549</v>
      </c>
      <c r="R519" s="17" t="str">
        <f aca="false">IF(HOUR(E519)&lt;6,"Madrugada (0-5 h)",IF(HOUR(E519)&lt;12,"Mañana (6-11 h)",IF(HOUR(E519)&lt;18,"Tarde (12-17 h)","Noche (18-23 h)")))</f>
        <v>Tarde (12-17 h)</v>
      </c>
    </row>
    <row r="520" customFormat="false" ht="15" hidden="false" customHeight="false" outlineLevel="0" collapsed="false">
      <c r="A520" s="17" t="n">
        <v>1519</v>
      </c>
      <c r="B520" s="17" t="n">
        <v>25</v>
      </c>
      <c r="C520" s="17" t="n">
        <v>5</v>
      </c>
      <c r="D520" s="17" t="n">
        <v>2021</v>
      </c>
      <c r="E520" s="18" t="n">
        <v>0.379444444444444</v>
      </c>
      <c r="F520" s="17" t="n">
        <v>1643</v>
      </c>
      <c r="G520" s="17" t="s">
        <v>112</v>
      </c>
      <c r="H520" s="17" t="s">
        <v>113</v>
      </c>
      <c r="I520" s="17" t="s">
        <v>114</v>
      </c>
      <c r="J520" s="17" t="s">
        <v>115</v>
      </c>
      <c r="K520" s="17" t="n">
        <v>43</v>
      </c>
      <c r="L520" s="17" t="s">
        <v>81</v>
      </c>
      <c r="M520" s="17" t="s">
        <v>116</v>
      </c>
      <c r="N520" s="19" t="n">
        <v>4.86</v>
      </c>
      <c r="O520" s="19" t="n">
        <v>208.98</v>
      </c>
      <c r="P520" s="17" t="s">
        <v>33</v>
      </c>
      <c r="Q520" s="20" t="n">
        <f aca="false">DATE(D520,C520,B520)</f>
        <v>44341</v>
      </c>
      <c r="R520" s="17" t="str">
        <f aca="false">IF(HOUR(E520)&lt;6,"Madrugada (0-5 h)",IF(HOUR(E520)&lt;12,"Mañana (6-11 h)",IF(HOUR(E520)&lt;18,"Tarde (12-17 h)","Noche (18-23 h)")))</f>
        <v>Mañana (6-11 h)</v>
      </c>
    </row>
    <row r="521" customFormat="false" ht="15" hidden="false" customHeight="false" outlineLevel="0" collapsed="false">
      <c r="A521" s="17" t="n">
        <v>1520</v>
      </c>
      <c r="B521" s="17" t="n">
        <v>7</v>
      </c>
      <c r="C521" s="17" t="n">
        <v>11</v>
      </c>
      <c r="D521" s="17" t="n">
        <v>2022</v>
      </c>
      <c r="E521" s="18" t="n">
        <v>0.918703703703704</v>
      </c>
      <c r="F521" s="17" t="n">
        <v>4299</v>
      </c>
      <c r="G521" s="17" t="s">
        <v>117</v>
      </c>
      <c r="H521" s="17" t="s">
        <v>118</v>
      </c>
      <c r="I521" s="17" t="s">
        <v>119</v>
      </c>
      <c r="J521" s="17" t="s">
        <v>115</v>
      </c>
      <c r="K521" s="17" t="n">
        <v>42</v>
      </c>
      <c r="L521" s="17" t="s">
        <v>81</v>
      </c>
      <c r="M521" s="17" t="s">
        <v>120</v>
      </c>
      <c r="N521" s="19" t="n">
        <v>3.54</v>
      </c>
      <c r="O521" s="19" t="n">
        <v>148.68</v>
      </c>
      <c r="P521" s="17" t="s">
        <v>33</v>
      </c>
      <c r="Q521" s="20" t="n">
        <f aca="false">DATE(D521,C521,B521)</f>
        <v>44872</v>
      </c>
      <c r="R521" s="17" t="str">
        <f aca="false">IF(HOUR(E521)&lt;6,"Madrugada (0-5 h)",IF(HOUR(E521)&lt;12,"Mañana (6-11 h)",IF(HOUR(E521)&lt;18,"Tarde (12-17 h)","Noche (18-23 h)")))</f>
        <v>Noche (18-23 h)</v>
      </c>
    </row>
    <row r="522" customFormat="false" ht="15" hidden="false" customHeight="false" outlineLevel="0" collapsed="false">
      <c r="A522" s="17" t="n">
        <v>1521</v>
      </c>
      <c r="B522" s="17" t="n">
        <v>26</v>
      </c>
      <c r="C522" s="17" t="n">
        <v>8</v>
      </c>
      <c r="D522" s="17" t="n">
        <v>2022</v>
      </c>
      <c r="E522" s="18" t="n">
        <v>0.847534722222222</v>
      </c>
      <c r="F522" s="17" t="n">
        <v>4996</v>
      </c>
      <c r="G522" s="17" t="s">
        <v>121</v>
      </c>
      <c r="H522" s="17" t="s">
        <v>122</v>
      </c>
      <c r="I522" s="17" t="s">
        <v>123</v>
      </c>
      <c r="J522" s="17" t="s">
        <v>124</v>
      </c>
      <c r="K522" s="17" t="n">
        <v>12</v>
      </c>
      <c r="L522" s="17" t="s">
        <v>125</v>
      </c>
      <c r="M522" s="17" t="s">
        <v>76</v>
      </c>
      <c r="N522" s="19" t="n">
        <v>7</v>
      </c>
      <c r="O522" s="19" t="n">
        <v>84</v>
      </c>
      <c r="P522" s="17" t="s">
        <v>33</v>
      </c>
      <c r="Q522" s="20" t="n">
        <f aca="false">DATE(D522,C522,B522)</f>
        <v>44799</v>
      </c>
      <c r="R522" s="17" t="str">
        <f aca="false">IF(HOUR(E522)&lt;6,"Madrugada (0-5 h)",IF(HOUR(E522)&lt;12,"Mañana (6-11 h)",IF(HOUR(E522)&lt;18,"Tarde (12-17 h)","Noche (18-23 h)")))</f>
        <v>Noche (18-23 h)</v>
      </c>
    </row>
    <row r="523" customFormat="false" ht="15" hidden="false" customHeight="false" outlineLevel="0" collapsed="false">
      <c r="A523" s="17" t="n">
        <v>1522</v>
      </c>
      <c r="B523" s="17" t="n">
        <v>28</v>
      </c>
      <c r="C523" s="17" t="n">
        <v>11</v>
      </c>
      <c r="D523" s="17" t="n">
        <v>2022</v>
      </c>
      <c r="E523" s="18" t="n">
        <v>0.954178240740741</v>
      </c>
      <c r="F523" s="17" t="n">
        <v>2126</v>
      </c>
      <c r="G523" s="17" t="s">
        <v>126</v>
      </c>
      <c r="H523" s="17" t="s">
        <v>127</v>
      </c>
      <c r="I523" s="17" t="s">
        <v>128</v>
      </c>
      <c r="J523" s="17" t="s">
        <v>129</v>
      </c>
      <c r="K523" s="17" t="n">
        <v>38</v>
      </c>
      <c r="L523" s="17" t="s">
        <v>98</v>
      </c>
      <c r="M523" s="17" t="s">
        <v>62</v>
      </c>
      <c r="N523" s="19" t="n">
        <v>3.05</v>
      </c>
      <c r="O523" s="19" t="n">
        <v>115.9</v>
      </c>
      <c r="P523" s="17" t="s">
        <v>33</v>
      </c>
      <c r="Q523" s="20" t="n">
        <f aca="false">DATE(D523,C523,B523)</f>
        <v>44893</v>
      </c>
      <c r="R523" s="17" t="str">
        <f aca="false">IF(HOUR(E523)&lt;6,"Madrugada (0-5 h)",IF(HOUR(E523)&lt;12,"Mañana (6-11 h)",IF(HOUR(E523)&lt;18,"Tarde (12-17 h)","Noche (18-23 h)")))</f>
        <v>Noche (18-23 h)</v>
      </c>
    </row>
    <row r="524" customFormat="false" ht="15" hidden="false" customHeight="false" outlineLevel="0" collapsed="false">
      <c r="A524" s="17" t="n">
        <v>1523</v>
      </c>
      <c r="B524" s="17" t="n">
        <v>2</v>
      </c>
      <c r="C524" s="17" t="n">
        <v>9</v>
      </c>
      <c r="D524" s="17" t="n">
        <v>2021</v>
      </c>
      <c r="E524" s="18" t="n">
        <v>0.593738425925926</v>
      </c>
      <c r="F524" s="17" t="n">
        <v>4756</v>
      </c>
      <c r="G524" s="17" t="s">
        <v>130</v>
      </c>
      <c r="H524" s="17" t="s">
        <v>131</v>
      </c>
      <c r="I524" s="17" t="s">
        <v>132</v>
      </c>
      <c r="J524" s="17" t="s">
        <v>129</v>
      </c>
      <c r="K524" s="17" t="n">
        <v>13</v>
      </c>
      <c r="L524" s="17" t="s">
        <v>98</v>
      </c>
      <c r="M524" s="17" t="s">
        <v>62</v>
      </c>
      <c r="N524" s="19" t="n">
        <v>4.57</v>
      </c>
      <c r="O524" s="19" t="n">
        <v>59.41</v>
      </c>
      <c r="P524" s="17" t="s">
        <v>33</v>
      </c>
      <c r="Q524" s="20" t="n">
        <f aca="false">DATE(D524,C524,B524)</f>
        <v>44441</v>
      </c>
      <c r="R524" s="17" t="str">
        <f aca="false">IF(HOUR(E524)&lt;6,"Madrugada (0-5 h)",IF(HOUR(E524)&lt;12,"Mañana (6-11 h)",IF(HOUR(E524)&lt;18,"Tarde (12-17 h)","Noche (18-23 h)")))</f>
        <v>Tarde (12-17 h)</v>
      </c>
    </row>
    <row r="525" customFormat="false" ht="15" hidden="false" customHeight="false" outlineLevel="0" collapsed="false">
      <c r="A525" s="17" t="n">
        <v>1524</v>
      </c>
      <c r="B525" s="17" t="n">
        <v>22</v>
      </c>
      <c r="C525" s="17" t="n">
        <v>7</v>
      </c>
      <c r="D525" s="17" t="n">
        <v>2022</v>
      </c>
      <c r="E525" s="18" t="n">
        <v>0.304537037037037</v>
      </c>
      <c r="F525" s="17" t="n">
        <v>2913</v>
      </c>
      <c r="G525" s="17" t="s">
        <v>133</v>
      </c>
      <c r="H525" s="17" t="s">
        <v>134</v>
      </c>
      <c r="I525" s="17" t="s">
        <v>135</v>
      </c>
      <c r="J525" s="17" t="s">
        <v>136</v>
      </c>
      <c r="K525" s="17" t="n">
        <v>42</v>
      </c>
      <c r="L525" s="17" t="s">
        <v>81</v>
      </c>
      <c r="M525" s="17" t="s">
        <v>76</v>
      </c>
      <c r="N525" s="19" t="n">
        <v>9.89</v>
      </c>
      <c r="O525" s="19" t="n">
        <v>415.38</v>
      </c>
      <c r="P525" s="17" t="s">
        <v>33</v>
      </c>
      <c r="Q525" s="20" t="n">
        <f aca="false">DATE(D525,C525,B525)</f>
        <v>44764</v>
      </c>
      <c r="R525" s="17" t="str">
        <f aca="false">IF(HOUR(E525)&lt;6,"Madrugada (0-5 h)",IF(HOUR(E525)&lt;12,"Mañana (6-11 h)",IF(HOUR(E525)&lt;18,"Tarde (12-17 h)","Noche (18-23 h)")))</f>
        <v>Mañana (6-11 h)</v>
      </c>
    </row>
    <row r="526" customFormat="false" ht="15" hidden="false" customHeight="false" outlineLevel="0" collapsed="false">
      <c r="A526" s="17" t="n">
        <v>1525</v>
      </c>
      <c r="B526" s="17" t="n">
        <v>14</v>
      </c>
      <c r="C526" s="17" t="n">
        <v>5</v>
      </c>
      <c r="D526" s="17" t="n">
        <v>2022</v>
      </c>
      <c r="E526" s="18" t="n">
        <v>0.529849537037037</v>
      </c>
      <c r="F526" s="17" t="n">
        <v>3801</v>
      </c>
      <c r="G526" s="17" t="s">
        <v>137</v>
      </c>
      <c r="H526" s="21" t="s">
        <v>449</v>
      </c>
      <c r="I526" s="17" t="s">
        <v>139</v>
      </c>
      <c r="J526" s="17" t="s">
        <v>140</v>
      </c>
      <c r="K526" s="17" t="n">
        <v>10</v>
      </c>
      <c r="L526" s="17" t="s">
        <v>31</v>
      </c>
      <c r="M526" s="17" t="s">
        <v>32</v>
      </c>
      <c r="N526" s="19" t="n">
        <v>3.44</v>
      </c>
      <c r="O526" s="19" t="n">
        <v>34.4</v>
      </c>
      <c r="P526" s="17" t="s">
        <v>43</v>
      </c>
      <c r="Q526" s="20" t="n">
        <f aca="false">DATE(D526,C526,B526)</f>
        <v>44695</v>
      </c>
      <c r="R526" s="17" t="str">
        <f aca="false">IF(HOUR(E526)&lt;6,"Madrugada (0-5 h)",IF(HOUR(E526)&lt;12,"Mañana (6-11 h)",IF(HOUR(E526)&lt;18,"Tarde (12-17 h)","Noche (18-23 h)")))</f>
        <v>Tarde (12-17 h)</v>
      </c>
    </row>
    <row r="527" customFormat="false" ht="15" hidden="false" customHeight="false" outlineLevel="0" collapsed="false">
      <c r="A527" s="17" t="n">
        <v>1526</v>
      </c>
      <c r="B527" s="17" t="n">
        <v>23</v>
      </c>
      <c r="C527" s="17" t="n">
        <v>6</v>
      </c>
      <c r="D527" s="17" t="n">
        <v>2021</v>
      </c>
      <c r="E527" s="18" t="n">
        <v>0.361273148148148</v>
      </c>
      <c r="F527" s="17" t="n">
        <v>4732</v>
      </c>
      <c r="G527" s="17" t="s">
        <v>141</v>
      </c>
      <c r="H527" s="17" t="s">
        <v>142</v>
      </c>
      <c r="I527" s="17" t="s">
        <v>143</v>
      </c>
      <c r="J527" s="17" t="s">
        <v>144</v>
      </c>
      <c r="K527" s="17" t="n">
        <v>28</v>
      </c>
      <c r="L527" s="17" t="s">
        <v>42</v>
      </c>
      <c r="M527" s="17" t="s">
        <v>48</v>
      </c>
      <c r="N527" s="19" t="n">
        <v>8.88</v>
      </c>
      <c r="O527" s="19" t="n">
        <v>248.64</v>
      </c>
      <c r="P527" s="17" t="s">
        <v>33</v>
      </c>
      <c r="Q527" s="20" t="n">
        <f aca="false">DATE(D527,C527,B527)</f>
        <v>44370</v>
      </c>
      <c r="R527" s="17" t="str">
        <f aca="false">IF(HOUR(E527)&lt;6,"Madrugada (0-5 h)",IF(HOUR(E527)&lt;12,"Mañana (6-11 h)",IF(HOUR(E527)&lt;18,"Tarde (12-17 h)","Noche (18-23 h)")))</f>
        <v>Mañana (6-11 h)</v>
      </c>
    </row>
    <row r="528" customFormat="false" ht="15" hidden="false" customHeight="false" outlineLevel="0" collapsed="false">
      <c r="A528" s="17" t="n">
        <v>1527</v>
      </c>
      <c r="B528" s="17" t="n">
        <v>5</v>
      </c>
      <c r="C528" s="17" t="n">
        <v>4</v>
      </c>
      <c r="D528" s="17" t="n">
        <v>2022</v>
      </c>
      <c r="E528" s="18" t="n">
        <v>0.974479166666667</v>
      </c>
      <c r="F528" s="17" t="n">
        <v>1665</v>
      </c>
      <c r="G528" s="17" t="s">
        <v>145</v>
      </c>
      <c r="H528" s="17" t="s">
        <v>146</v>
      </c>
      <c r="I528" s="17" t="s">
        <v>147</v>
      </c>
      <c r="J528" s="17" t="s">
        <v>148</v>
      </c>
      <c r="K528" s="17" t="n">
        <v>43</v>
      </c>
      <c r="L528" s="17" t="s">
        <v>42</v>
      </c>
      <c r="M528" s="17" t="s">
        <v>48</v>
      </c>
      <c r="N528" s="19" t="n">
        <v>15.87</v>
      </c>
      <c r="O528" s="19" t="n">
        <v>682.41</v>
      </c>
      <c r="P528" s="17" t="s">
        <v>33</v>
      </c>
      <c r="Q528" s="20" t="n">
        <f aca="false">DATE(D528,C528,B528)</f>
        <v>44656</v>
      </c>
      <c r="R528" s="17" t="str">
        <f aca="false">IF(HOUR(E528)&lt;6,"Madrugada (0-5 h)",IF(HOUR(E528)&lt;12,"Mañana (6-11 h)",IF(HOUR(E528)&lt;18,"Tarde (12-17 h)","Noche (18-23 h)")))</f>
        <v>Noche (18-23 h)</v>
      </c>
    </row>
    <row r="529" customFormat="false" ht="15" hidden="false" customHeight="false" outlineLevel="0" collapsed="false">
      <c r="A529" s="17" t="n">
        <v>1528</v>
      </c>
      <c r="B529" s="17" t="n">
        <v>19</v>
      </c>
      <c r="C529" s="17" t="n">
        <v>5</v>
      </c>
      <c r="D529" s="17" t="n">
        <v>2022</v>
      </c>
      <c r="E529" s="18" t="n">
        <v>0.443981481481482</v>
      </c>
      <c r="F529" s="17" t="n">
        <v>2036</v>
      </c>
      <c r="G529" s="17" t="s">
        <v>149</v>
      </c>
      <c r="H529" s="17" t="s">
        <v>150</v>
      </c>
      <c r="I529" s="17" t="s">
        <v>151</v>
      </c>
      <c r="J529" s="17" t="s">
        <v>152</v>
      </c>
      <c r="K529" s="17" t="n">
        <v>38</v>
      </c>
      <c r="L529" s="17" t="s">
        <v>42</v>
      </c>
      <c r="M529" s="17" t="s">
        <v>32</v>
      </c>
      <c r="N529" s="19" t="n">
        <v>13.04</v>
      </c>
      <c r="O529" s="19" t="n">
        <v>495.52</v>
      </c>
      <c r="P529" s="17" t="s">
        <v>33</v>
      </c>
      <c r="Q529" s="20" t="n">
        <f aca="false">DATE(D529,C529,B529)</f>
        <v>44700</v>
      </c>
      <c r="R529" s="17" t="str">
        <f aca="false">IF(HOUR(E529)&lt;6,"Madrugada (0-5 h)",IF(HOUR(E529)&lt;12,"Mañana (6-11 h)",IF(HOUR(E529)&lt;18,"Tarde (12-17 h)","Noche (18-23 h)")))</f>
        <v>Mañana (6-11 h)</v>
      </c>
    </row>
    <row r="530" customFormat="false" ht="15" hidden="false" customHeight="false" outlineLevel="0" collapsed="false">
      <c r="A530" s="17" t="n">
        <v>1529</v>
      </c>
      <c r="B530" s="17" t="n">
        <v>18</v>
      </c>
      <c r="C530" s="17" t="n">
        <v>6</v>
      </c>
      <c r="D530" s="17" t="n">
        <v>2022</v>
      </c>
      <c r="E530" s="18" t="n">
        <v>0.745671296296296</v>
      </c>
      <c r="F530" s="17" t="n">
        <v>2187</v>
      </c>
      <c r="G530" s="17" t="s">
        <v>153</v>
      </c>
      <c r="H530" s="17" t="s">
        <v>154</v>
      </c>
      <c r="I530" s="17" t="s">
        <v>155</v>
      </c>
      <c r="J530" s="17" t="s">
        <v>155</v>
      </c>
      <c r="K530" s="17" t="n">
        <v>46</v>
      </c>
      <c r="L530" s="17" t="s">
        <v>42</v>
      </c>
      <c r="M530" s="17" t="s">
        <v>32</v>
      </c>
      <c r="N530" s="19" t="n">
        <v>9.31</v>
      </c>
      <c r="O530" s="19" t="n">
        <v>428.26</v>
      </c>
      <c r="P530" s="17" t="s">
        <v>43</v>
      </c>
      <c r="Q530" s="20" t="n">
        <f aca="false">DATE(D530,C530,B530)</f>
        <v>44730</v>
      </c>
      <c r="R530" s="17" t="str">
        <f aca="false">IF(HOUR(E530)&lt;6,"Madrugada (0-5 h)",IF(HOUR(E530)&lt;12,"Mañana (6-11 h)",IF(HOUR(E530)&lt;18,"Tarde (12-17 h)","Noche (18-23 h)")))</f>
        <v>Tarde (12-17 h)</v>
      </c>
    </row>
    <row r="531" customFormat="false" ht="15" hidden="false" customHeight="false" outlineLevel="0" collapsed="false">
      <c r="A531" s="17" t="n">
        <v>1530</v>
      </c>
      <c r="B531" s="17" t="n">
        <v>18</v>
      </c>
      <c r="C531" s="17" t="n">
        <v>8</v>
      </c>
      <c r="D531" s="17" t="n">
        <v>2021</v>
      </c>
      <c r="E531" s="18" t="n">
        <v>0.0818287037037037</v>
      </c>
      <c r="F531" s="17" t="n">
        <v>3263</v>
      </c>
      <c r="G531" s="17" t="s">
        <v>156</v>
      </c>
      <c r="H531" s="17" t="s">
        <v>157</v>
      </c>
      <c r="I531" s="17" t="s">
        <v>158</v>
      </c>
      <c r="J531" s="17" t="s">
        <v>159</v>
      </c>
      <c r="K531" s="17" t="n">
        <v>21</v>
      </c>
      <c r="L531" s="17" t="s">
        <v>125</v>
      </c>
      <c r="M531" s="17" t="s">
        <v>82</v>
      </c>
      <c r="N531" s="19" t="n">
        <v>8.51</v>
      </c>
      <c r="O531" s="19" t="n">
        <v>178.71</v>
      </c>
      <c r="P531" s="17" t="s">
        <v>33</v>
      </c>
      <c r="Q531" s="20" t="n">
        <f aca="false">DATE(D531,C531,B531)</f>
        <v>44426</v>
      </c>
      <c r="R531" s="17" t="str">
        <f aca="false">IF(HOUR(E531)&lt;6,"Madrugada (0-5 h)",IF(HOUR(E531)&lt;12,"Mañana (6-11 h)",IF(HOUR(E531)&lt;18,"Tarde (12-17 h)","Noche (18-23 h)")))</f>
        <v>Madrugada (0-5 h)</v>
      </c>
    </row>
    <row r="532" customFormat="false" ht="15" hidden="false" customHeight="false" outlineLevel="0" collapsed="false">
      <c r="A532" s="17" t="n">
        <v>1531</v>
      </c>
      <c r="B532" s="17" t="n">
        <v>12</v>
      </c>
      <c r="C532" s="17" t="n">
        <v>8</v>
      </c>
      <c r="D532" s="17" t="n">
        <v>2021</v>
      </c>
      <c r="E532" s="18" t="n">
        <v>0.271979166666667</v>
      </c>
      <c r="F532" s="17" t="n">
        <v>2646</v>
      </c>
      <c r="G532" s="17" t="s">
        <v>160</v>
      </c>
      <c r="H532" s="17" t="s">
        <v>161</v>
      </c>
      <c r="I532" s="17" t="s">
        <v>162</v>
      </c>
      <c r="J532" s="17" t="s">
        <v>163</v>
      </c>
      <c r="K532" s="17" t="n">
        <v>25</v>
      </c>
      <c r="L532" s="17" t="s">
        <v>42</v>
      </c>
      <c r="M532" s="17" t="s">
        <v>76</v>
      </c>
      <c r="N532" s="19" t="n">
        <v>15.63</v>
      </c>
      <c r="O532" s="19" t="n">
        <v>390.75</v>
      </c>
      <c r="P532" s="17" t="s">
        <v>33</v>
      </c>
      <c r="Q532" s="20" t="n">
        <f aca="false">DATE(D532,C532,B532)</f>
        <v>44420</v>
      </c>
      <c r="R532" s="17" t="str">
        <f aca="false">IF(HOUR(E532)&lt;6,"Madrugada (0-5 h)",IF(HOUR(E532)&lt;12,"Mañana (6-11 h)",IF(HOUR(E532)&lt;18,"Tarde (12-17 h)","Noche (18-23 h)")))</f>
        <v>Mañana (6-11 h)</v>
      </c>
    </row>
    <row r="533" customFormat="false" ht="15" hidden="false" customHeight="false" outlineLevel="0" collapsed="false">
      <c r="A533" s="17" t="n">
        <v>1532</v>
      </c>
      <c r="B533" s="17" t="n">
        <v>10</v>
      </c>
      <c r="C533" s="17" t="n">
        <v>11</v>
      </c>
      <c r="D533" s="17" t="n">
        <v>2022</v>
      </c>
      <c r="E533" s="18" t="n">
        <v>0.666168981481482</v>
      </c>
      <c r="F533" s="17" t="n">
        <v>1273</v>
      </c>
      <c r="G533" s="17" t="s">
        <v>164</v>
      </c>
      <c r="H533" s="17" t="s">
        <v>165</v>
      </c>
      <c r="I533" s="17" t="s">
        <v>166</v>
      </c>
      <c r="J533" s="17" t="s">
        <v>167</v>
      </c>
      <c r="K533" s="17" t="n">
        <v>10</v>
      </c>
      <c r="L533" s="17" t="s">
        <v>81</v>
      </c>
      <c r="M533" s="17" t="s">
        <v>82</v>
      </c>
      <c r="N533" s="19" t="n">
        <v>6.99</v>
      </c>
      <c r="O533" s="19" t="n">
        <v>69.9</v>
      </c>
      <c r="P533" s="17" t="s">
        <v>33</v>
      </c>
      <c r="Q533" s="20" t="n">
        <f aca="false">DATE(D533,C533,B533)</f>
        <v>44875</v>
      </c>
      <c r="R533" s="17" t="str">
        <f aca="false">IF(HOUR(E533)&lt;6,"Madrugada (0-5 h)",IF(HOUR(E533)&lt;12,"Mañana (6-11 h)",IF(HOUR(E533)&lt;18,"Tarde (12-17 h)","Noche (18-23 h)")))</f>
        <v>Tarde (12-17 h)</v>
      </c>
    </row>
    <row r="534" customFormat="false" ht="15" hidden="false" customHeight="false" outlineLevel="0" collapsed="false">
      <c r="A534" s="17" t="n">
        <v>1533</v>
      </c>
      <c r="B534" s="17" t="n">
        <v>26</v>
      </c>
      <c r="C534" s="17" t="n">
        <v>11</v>
      </c>
      <c r="D534" s="17" t="n">
        <v>2022</v>
      </c>
      <c r="E534" s="18" t="n">
        <v>0.819837962962963</v>
      </c>
      <c r="F534" s="17" t="n">
        <v>1269</v>
      </c>
      <c r="G534" s="17" t="s">
        <v>168</v>
      </c>
      <c r="H534" s="17" t="s">
        <v>169</v>
      </c>
      <c r="I534" s="17" t="s">
        <v>170</v>
      </c>
      <c r="J534" s="17" t="s">
        <v>171</v>
      </c>
      <c r="K534" s="17" t="n">
        <v>46</v>
      </c>
      <c r="L534" s="17" t="s">
        <v>31</v>
      </c>
      <c r="M534" s="17" t="s">
        <v>76</v>
      </c>
      <c r="N534" s="19" t="n">
        <v>6.84</v>
      </c>
      <c r="O534" s="19" t="n">
        <v>314.64</v>
      </c>
      <c r="P534" s="17" t="s">
        <v>33</v>
      </c>
      <c r="Q534" s="20" t="n">
        <f aca="false">DATE(D534,C534,B534)</f>
        <v>44891</v>
      </c>
      <c r="R534" s="17" t="str">
        <f aca="false">IF(HOUR(E534)&lt;6,"Madrugada (0-5 h)",IF(HOUR(E534)&lt;12,"Mañana (6-11 h)",IF(HOUR(E534)&lt;18,"Tarde (12-17 h)","Noche (18-23 h)")))</f>
        <v>Noche (18-23 h)</v>
      </c>
    </row>
    <row r="535" customFormat="false" ht="15" hidden="false" customHeight="false" outlineLevel="0" collapsed="false">
      <c r="A535" s="17" t="n">
        <v>1534</v>
      </c>
      <c r="B535" s="17" t="n">
        <v>21</v>
      </c>
      <c r="C535" s="17" t="n">
        <v>2</v>
      </c>
      <c r="D535" s="17" t="n">
        <v>2022</v>
      </c>
      <c r="E535" s="18" t="n">
        <v>0.751608796296296</v>
      </c>
      <c r="F535" s="17" t="n">
        <v>1671</v>
      </c>
      <c r="G535" s="17" t="s">
        <v>172</v>
      </c>
      <c r="H535" s="17" t="s">
        <v>173</v>
      </c>
      <c r="I535" s="17" t="s">
        <v>174</v>
      </c>
      <c r="J535" s="17" t="s">
        <v>175</v>
      </c>
      <c r="K535" s="17" t="n">
        <v>18</v>
      </c>
      <c r="L535" s="17" t="s">
        <v>31</v>
      </c>
      <c r="M535" s="17" t="s">
        <v>76</v>
      </c>
      <c r="N535" s="19" t="n">
        <v>5.5</v>
      </c>
      <c r="O535" s="19" t="n">
        <v>99</v>
      </c>
      <c r="P535" s="17" t="s">
        <v>33</v>
      </c>
      <c r="Q535" s="20" t="n">
        <f aca="false">DATE(D535,C535,B535)</f>
        <v>44613</v>
      </c>
      <c r="R535" s="17" t="str">
        <f aca="false">IF(HOUR(E535)&lt;6,"Madrugada (0-5 h)",IF(HOUR(E535)&lt;12,"Mañana (6-11 h)",IF(HOUR(E535)&lt;18,"Tarde (12-17 h)","Noche (18-23 h)")))</f>
        <v>Noche (18-23 h)</v>
      </c>
    </row>
    <row r="536" customFormat="false" ht="15" hidden="false" customHeight="false" outlineLevel="0" collapsed="false">
      <c r="A536" s="17" t="n">
        <v>1535</v>
      </c>
      <c r="B536" s="17" t="n">
        <v>15</v>
      </c>
      <c r="C536" s="17" t="n">
        <v>4</v>
      </c>
      <c r="D536" s="17" t="n">
        <v>2022</v>
      </c>
      <c r="E536" s="18" t="n">
        <v>0.134421296296296</v>
      </c>
      <c r="F536" s="17" t="n">
        <v>1565</v>
      </c>
      <c r="G536" s="17" t="s">
        <v>176</v>
      </c>
      <c r="H536" s="17" t="s">
        <v>177</v>
      </c>
      <c r="I536" s="17" t="s">
        <v>178</v>
      </c>
      <c r="J536" s="17" t="s">
        <v>179</v>
      </c>
      <c r="K536" s="17" t="n">
        <v>23</v>
      </c>
      <c r="L536" s="17" t="s">
        <v>31</v>
      </c>
      <c r="M536" s="17" t="s">
        <v>76</v>
      </c>
      <c r="N536" s="19" t="n">
        <v>9.56</v>
      </c>
      <c r="O536" s="19" t="n">
        <v>219.88</v>
      </c>
      <c r="P536" s="17" t="s">
        <v>33</v>
      </c>
      <c r="Q536" s="20" t="n">
        <f aca="false">DATE(D536,C536,B536)</f>
        <v>44666</v>
      </c>
      <c r="R536" s="17" t="str">
        <f aca="false">IF(HOUR(E536)&lt;6,"Madrugada (0-5 h)",IF(HOUR(E536)&lt;12,"Mañana (6-11 h)",IF(HOUR(E536)&lt;18,"Tarde (12-17 h)","Noche (18-23 h)")))</f>
        <v>Madrugada (0-5 h)</v>
      </c>
    </row>
    <row r="537" customFormat="false" ht="15" hidden="false" customHeight="false" outlineLevel="0" collapsed="false">
      <c r="A537" s="17" t="n">
        <v>1536</v>
      </c>
      <c r="B537" s="17" t="n">
        <v>15</v>
      </c>
      <c r="C537" s="17" t="n">
        <v>7</v>
      </c>
      <c r="D537" s="17" t="n">
        <v>2021</v>
      </c>
      <c r="E537" s="18" t="n">
        <v>0.409756944444444</v>
      </c>
      <c r="F537" s="17" t="n">
        <v>1346</v>
      </c>
      <c r="G537" s="17" t="s">
        <v>180</v>
      </c>
      <c r="H537" s="17" t="s">
        <v>181</v>
      </c>
      <c r="I537" s="17" t="s">
        <v>182</v>
      </c>
      <c r="J537" s="17" t="s">
        <v>183</v>
      </c>
      <c r="K537" s="17" t="n">
        <v>14</v>
      </c>
      <c r="L537" s="17" t="s">
        <v>31</v>
      </c>
      <c r="M537" s="17" t="s">
        <v>32</v>
      </c>
      <c r="N537" s="19" t="n">
        <v>3.43</v>
      </c>
      <c r="O537" s="19" t="n">
        <v>48.02</v>
      </c>
      <c r="P537" s="17" t="s">
        <v>33</v>
      </c>
      <c r="Q537" s="20" t="n">
        <f aca="false">DATE(D537,C537,B537)</f>
        <v>44392</v>
      </c>
      <c r="R537" s="17" t="str">
        <f aca="false">IF(HOUR(E537)&lt;6,"Madrugada (0-5 h)",IF(HOUR(E537)&lt;12,"Mañana (6-11 h)",IF(HOUR(E537)&lt;18,"Tarde (12-17 h)","Noche (18-23 h)")))</f>
        <v>Mañana (6-11 h)</v>
      </c>
    </row>
    <row r="538" customFormat="false" ht="15" hidden="false" customHeight="false" outlineLevel="0" collapsed="false">
      <c r="A538" s="17" t="n">
        <v>1537</v>
      </c>
      <c r="B538" s="17" t="n">
        <v>7</v>
      </c>
      <c r="C538" s="17" t="n">
        <v>9</v>
      </c>
      <c r="D538" s="17" t="n">
        <v>2021</v>
      </c>
      <c r="E538" s="18" t="n">
        <v>0.938414351851852</v>
      </c>
      <c r="F538" s="17" t="n">
        <v>3222</v>
      </c>
      <c r="G538" s="17" t="s">
        <v>184</v>
      </c>
      <c r="H538" s="17" t="s">
        <v>185</v>
      </c>
      <c r="I538" s="17" t="s">
        <v>186</v>
      </c>
      <c r="J538" s="17" t="s">
        <v>187</v>
      </c>
      <c r="K538" s="17" t="n">
        <v>35</v>
      </c>
      <c r="L538" s="17" t="s">
        <v>81</v>
      </c>
      <c r="M538" s="17" t="s">
        <v>82</v>
      </c>
      <c r="N538" s="19" t="n">
        <v>1.23</v>
      </c>
      <c r="O538" s="19" t="n">
        <v>43.05</v>
      </c>
      <c r="P538" s="17" t="s">
        <v>33</v>
      </c>
      <c r="Q538" s="20" t="n">
        <f aca="false">DATE(D538,C538,B538)</f>
        <v>44446</v>
      </c>
      <c r="R538" s="17" t="str">
        <f aca="false">IF(HOUR(E538)&lt;6,"Madrugada (0-5 h)",IF(HOUR(E538)&lt;12,"Mañana (6-11 h)",IF(HOUR(E538)&lt;18,"Tarde (12-17 h)","Noche (18-23 h)")))</f>
        <v>Noche (18-23 h)</v>
      </c>
    </row>
    <row r="539" customFormat="false" ht="15" hidden="false" customHeight="false" outlineLevel="0" collapsed="false">
      <c r="A539" s="17" t="n">
        <v>1538</v>
      </c>
      <c r="B539" s="17" t="n">
        <v>19</v>
      </c>
      <c r="C539" s="17" t="n">
        <v>2</v>
      </c>
      <c r="D539" s="17" t="n">
        <v>2022</v>
      </c>
      <c r="E539" s="18" t="n">
        <v>0.750532407407408</v>
      </c>
      <c r="F539" s="17" t="n">
        <v>3220</v>
      </c>
      <c r="G539" s="17" t="s">
        <v>188</v>
      </c>
      <c r="H539" s="17" t="s">
        <v>189</v>
      </c>
      <c r="I539" s="17" t="s">
        <v>190</v>
      </c>
      <c r="J539" s="17" t="s">
        <v>191</v>
      </c>
      <c r="K539" s="17" t="n">
        <v>17</v>
      </c>
      <c r="L539" s="17" t="s">
        <v>125</v>
      </c>
      <c r="M539" s="17" t="s">
        <v>76</v>
      </c>
      <c r="N539" s="19" t="n">
        <v>13.55</v>
      </c>
      <c r="O539" s="19" t="n">
        <v>230.35</v>
      </c>
      <c r="P539" s="17" t="s">
        <v>33</v>
      </c>
      <c r="Q539" s="20" t="n">
        <f aca="false">DATE(D539,C539,B539)</f>
        <v>44611</v>
      </c>
      <c r="R539" s="17" t="str">
        <f aca="false">IF(HOUR(E539)&lt;6,"Madrugada (0-5 h)",IF(HOUR(E539)&lt;12,"Mañana (6-11 h)",IF(HOUR(E539)&lt;18,"Tarde (12-17 h)","Noche (18-23 h)")))</f>
        <v>Noche (18-23 h)</v>
      </c>
    </row>
    <row r="540" customFormat="false" ht="15" hidden="false" customHeight="false" outlineLevel="0" collapsed="false">
      <c r="A540" s="17" t="n">
        <v>1539</v>
      </c>
      <c r="B540" s="17" t="n">
        <v>27</v>
      </c>
      <c r="C540" s="17" t="n">
        <v>12</v>
      </c>
      <c r="D540" s="17" t="n">
        <v>2022</v>
      </c>
      <c r="E540" s="18" t="n">
        <v>0.83119212962963</v>
      </c>
      <c r="F540" s="17" t="n">
        <v>2196</v>
      </c>
      <c r="G540" s="17" t="s">
        <v>192</v>
      </c>
      <c r="H540" s="17" t="s">
        <v>193</v>
      </c>
      <c r="I540" s="17" t="s">
        <v>194</v>
      </c>
      <c r="J540" s="17" t="s">
        <v>195</v>
      </c>
      <c r="K540" s="17" t="n">
        <v>18</v>
      </c>
      <c r="L540" s="17" t="s">
        <v>31</v>
      </c>
      <c r="M540" s="17" t="s">
        <v>82</v>
      </c>
      <c r="N540" s="19" t="n">
        <v>6.78</v>
      </c>
      <c r="O540" s="19" t="n">
        <v>122.04</v>
      </c>
      <c r="P540" s="17" t="s">
        <v>33</v>
      </c>
      <c r="Q540" s="20" t="n">
        <f aca="false">DATE(D540,C540,B540)</f>
        <v>44922</v>
      </c>
      <c r="R540" s="17" t="str">
        <f aca="false">IF(HOUR(E540)&lt;6,"Madrugada (0-5 h)",IF(HOUR(E540)&lt;12,"Mañana (6-11 h)",IF(HOUR(E540)&lt;18,"Tarde (12-17 h)","Noche (18-23 h)")))</f>
        <v>Noche (18-23 h)</v>
      </c>
    </row>
    <row r="541" customFormat="false" ht="15" hidden="false" customHeight="false" outlineLevel="0" collapsed="false">
      <c r="A541" s="17" t="n">
        <v>1540</v>
      </c>
      <c r="B541" s="17" t="n">
        <v>7</v>
      </c>
      <c r="C541" s="17" t="n">
        <v>10</v>
      </c>
      <c r="D541" s="17" t="n">
        <v>2022</v>
      </c>
      <c r="E541" s="18" t="n">
        <v>0.92505787037037</v>
      </c>
      <c r="F541" s="17" t="n">
        <v>2899</v>
      </c>
      <c r="G541" s="17" t="s">
        <v>196</v>
      </c>
      <c r="H541" s="17" t="s">
        <v>197</v>
      </c>
      <c r="I541" s="17" t="s">
        <v>198</v>
      </c>
      <c r="J541" s="17" t="s">
        <v>199</v>
      </c>
      <c r="K541" s="17" t="n">
        <v>9</v>
      </c>
      <c r="L541" s="17" t="s">
        <v>31</v>
      </c>
      <c r="M541" s="17" t="s">
        <v>32</v>
      </c>
      <c r="N541" s="19" t="n">
        <v>8.02</v>
      </c>
      <c r="O541" s="19" t="n">
        <v>72.18</v>
      </c>
      <c r="P541" s="17" t="s">
        <v>33</v>
      </c>
      <c r="Q541" s="20" t="n">
        <f aca="false">DATE(D541,C541,B541)</f>
        <v>44841</v>
      </c>
      <c r="R541" s="17" t="str">
        <f aca="false">IF(HOUR(E541)&lt;6,"Madrugada (0-5 h)",IF(HOUR(E541)&lt;12,"Mañana (6-11 h)",IF(HOUR(E541)&lt;18,"Tarde (12-17 h)","Noche (18-23 h)")))</f>
        <v>Noche (18-23 h)</v>
      </c>
    </row>
    <row r="542" customFormat="false" ht="15" hidden="false" customHeight="false" outlineLevel="0" collapsed="false">
      <c r="A542" s="17" t="n">
        <v>1541</v>
      </c>
      <c r="B542" s="17" t="n">
        <v>19</v>
      </c>
      <c r="C542" s="17" t="n">
        <v>6</v>
      </c>
      <c r="D542" s="17" t="n">
        <v>2021</v>
      </c>
      <c r="E542" s="18" t="n">
        <v>0.0851041666666667</v>
      </c>
      <c r="F542" s="17" t="n">
        <v>3490</v>
      </c>
      <c r="G542" s="17" t="s">
        <v>200</v>
      </c>
      <c r="H542" s="17" t="s">
        <v>201</v>
      </c>
      <c r="I542" s="17" t="s">
        <v>113</v>
      </c>
      <c r="J542" s="17" t="s">
        <v>202</v>
      </c>
      <c r="K542" s="17" t="n">
        <v>27</v>
      </c>
      <c r="L542" s="17" t="s">
        <v>31</v>
      </c>
      <c r="M542" s="17" t="s">
        <v>32</v>
      </c>
      <c r="N542" s="19" t="n">
        <v>7.76</v>
      </c>
      <c r="O542" s="19" t="n">
        <v>209.52</v>
      </c>
      <c r="P542" s="17" t="s">
        <v>33</v>
      </c>
      <c r="Q542" s="20" t="n">
        <f aca="false">DATE(D542,C542,B542)</f>
        <v>44366</v>
      </c>
      <c r="R542" s="17" t="str">
        <f aca="false">IF(HOUR(E542)&lt;6,"Madrugada (0-5 h)",IF(HOUR(E542)&lt;12,"Mañana (6-11 h)",IF(HOUR(E542)&lt;18,"Tarde (12-17 h)","Noche (18-23 h)")))</f>
        <v>Madrugada (0-5 h)</v>
      </c>
    </row>
    <row r="543" customFormat="false" ht="15" hidden="false" customHeight="false" outlineLevel="0" collapsed="false">
      <c r="A543" s="17" t="n">
        <v>1542</v>
      </c>
      <c r="B543" s="17" t="n">
        <v>18</v>
      </c>
      <c r="C543" s="17" t="n">
        <v>10</v>
      </c>
      <c r="D543" s="17" t="n">
        <v>2022</v>
      </c>
      <c r="E543" s="18" t="n">
        <v>0.139733796296296</v>
      </c>
      <c r="F543" s="17" t="n">
        <v>2799</v>
      </c>
      <c r="G543" s="17" t="s">
        <v>203</v>
      </c>
      <c r="H543" s="17" t="s">
        <v>450</v>
      </c>
      <c r="I543" s="17" t="s">
        <v>205</v>
      </c>
      <c r="J543" s="17" t="s">
        <v>206</v>
      </c>
      <c r="K543" s="17" t="n">
        <v>20</v>
      </c>
      <c r="L543" s="17" t="s">
        <v>42</v>
      </c>
      <c r="M543" s="17" t="s">
        <v>32</v>
      </c>
      <c r="N543" s="19" t="n">
        <v>8.87</v>
      </c>
      <c r="O543" s="19" t="n">
        <v>177.4</v>
      </c>
      <c r="P543" s="17" t="s">
        <v>33</v>
      </c>
      <c r="Q543" s="20" t="n">
        <f aca="false">DATE(D543,C543,B543)</f>
        <v>44852</v>
      </c>
      <c r="R543" s="17" t="str">
        <f aca="false">IF(HOUR(E543)&lt;6,"Madrugada (0-5 h)",IF(HOUR(E543)&lt;12,"Mañana (6-11 h)",IF(HOUR(E543)&lt;18,"Tarde (12-17 h)","Noche (18-23 h)")))</f>
        <v>Madrugada (0-5 h)</v>
      </c>
    </row>
    <row r="544" customFormat="false" ht="15" hidden="false" customHeight="false" outlineLevel="0" collapsed="false">
      <c r="A544" s="17" t="n">
        <v>1543</v>
      </c>
      <c r="B544" s="17" t="n">
        <v>10</v>
      </c>
      <c r="C544" s="17" t="n">
        <v>5</v>
      </c>
      <c r="D544" s="17" t="n">
        <v>2021</v>
      </c>
      <c r="E544" s="18" t="n">
        <v>0.405081018518519</v>
      </c>
      <c r="F544" s="17" t="n">
        <v>1771</v>
      </c>
      <c r="G544" s="17" t="s">
        <v>207</v>
      </c>
      <c r="H544" s="17" t="s">
        <v>208</v>
      </c>
      <c r="I544" s="17" t="s">
        <v>209</v>
      </c>
      <c r="J544" s="17" t="s">
        <v>210</v>
      </c>
      <c r="K544" s="17" t="n">
        <v>41</v>
      </c>
      <c r="L544" s="17" t="s">
        <v>31</v>
      </c>
      <c r="M544" s="17" t="s">
        <v>32</v>
      </c>
      <c r="N544" s="19" t="n">
        <v>4.5</v>
      </c>
      <c r="O544" s="19" t="n">
        <v>184.5</v>
      </c>
      <c r="P544" s="17" t="s">
        <v>33</v>
      </c>
      <c r="Q544" s="20" t="n">
        <f aca="false">DATE(D544,C544,B544)</f>
        <v>44326</v>
      </c>
      <c r="R544" s="17" t="str">
        <f aca="false">IF(HOUR(E544)&lt;6,"Madrugada (0-5 h)",IF(HOUR(E544)&lt;12,"Mañana (6-11 h)",IF(HOUR(E544)&lt;18,"Tarde (12-17 h)","Noche (18-23 h)")))</f>
        <v>Mañana (6-11 h)</v>
      </c>
    </row>
    <row r="545" customFormat="false" ht="15" hidden="false" customHeight="false" outlineLevel="0" collapsed="false">
      <c r="A545" s="17" t="n">
        <v>1544</v>
      </c>
      <c r="B545" s="17" t="n">
        <v>11</v>
      </c>
      <c r="C545" s="17" t="n">
        <v>4</v>
      </c>
      <c r="D545" s="17" t="n">
        <v>2021</v>
      </c>
      <c r="E545" s="18" t="n">
        <v>0.874479166666667</v>
      </c>
      <c r="F545" s="17" t="n">
        <v>2966</v>
      </c>
      <c r="G545" s="17" t="s">
        <v>211</v>
      </c>
      <c r="H545" s="17" t="s">
        <v>212</v>
      </c>
      <c r="I545" s="17" t="s">
        <v>213</v>
      </c>
      <c r="J545" s="17" t="s">
        <v>214</v>
      </c>
      <c r="K545" s="17" t="n">
        <v>2</v>
      </c>
      <c r="L545" s="17" t="s">
        <v>31</v>
      </c>
      <c r="M545" s="17" t="s">
        <v>32</v>
      </c>
      <c r="N545" s="19" t="n">
        <v>8.98</v>
      </c>
      <c r="O545" s="19" t="n">
        <v>17.96</v>
      </c>
      <c r="P545" s="17" t="s">
        <v>33</v>
      </c>
      <c r="Q545" s="20" t="n">
        <f aca="false">DATE(D545,C545,B545)</f>
        <v>44297</v>
      </c>
      <c r="R545" s="17" t="str">
        <f aca="false">IF(HOUR(E545)&lt;6,"Madrugada (0-5 h)",IF(HOUR(E545)&lt;12,"Mañana (6-11 h)",IF(HOUR(E545)&lt;18,"Tarde (12-17 h)","Noche (18-23 h)")))</f>
        <v>Noche (18-23 h)</v>
      </c>
    </row>
    <row r="546" customFormat="false" ht="15" hidden="false" customHeight="false" outlineLevel="0" collapsed="false">
      <c r="A546" s="17" t="n">
        <v>1545</v>
      </c>
      <c r="B546" s="17" t="n">
        <v>4</v>
      </c>
      <c r="C546" s="17" t="n">
        <v>7</v>
      </c>
      <c r="D546" s="17" t="n">
        <v>2021</v>
      </c>
      <c r="E546" s="18" t="n">
        <v>0.521180555555556</v>
      </c>
      <c r="F546" s="17" t="n">
        <v>4860</v>
      </c>
      <c r="G546" s="17" t="s">
        <v>215</v>
      </c>
      <c r="H546" s="17" t="s">
        <v>197</v>
      </c>
      <c r="I546" s="17" t="s">
        <v>198</v>
      </c>
      <c r="J546" s="17" t="s">
        <v>199</v>
      </c>
      <c r="K546" s="17" t="n">
        <v>45</v>
      </c>
      <c r="L546" s="17" t="s">
        <v>31</v>
      </c>
      <c r="M546" s="17" t="s">
        <v>32</v>
      </c>
      <c r="N546" s="19" t="n">
        <v>5.87</v>
      </c>
      <c r="O546" s="19" t="n">
        <v>264.15</v>
      </c>
      <c r="P546" s="17" t="s">
        <v>33</v>
      </c>
      <c r="Q546" s="20" t="n">
        <f aca="false">DATE(D546,C546,B546)</f>
        <v>44381</v>
      </c>
      <c r="R546" s="17" t="str">
        <f aca="false">IF(HOUR(E546)&lt;6,"Madrugada (0-5 h)",IF(HOUR(E546)&lt;12,"Mañana (6-11 h)",IF(HOUR(E546)&lt;18,"Tarde (12-17 h)","Noche (18-23 h)")))</f>
        <v>Tarde (12-17 h)</v>
      </c>
    </row>
    <row r="547" customFormat="false" ht="15" hidden="false" customHeight="false" outlineLevel="0" collapsed="false">
      <c r="A547" s="17" t="n">
        <v>1546</v>
      </c>
      <c r="B547" s="17" t="n">
        <v>3</v>
      </c>
      <c r="C547" s="17" t="n">
        <v>1</v>
      </c>
      <c r="D547" s="17" t="n">
        <v>2021</v>
      </c>
      <c r="E547" s="18" t="n">
        <v>0.922847222222222</v>
      </c>
      <c r="F547" s="17" t="n">
        <v>1727</v>
      </c>
      <c r="G547" s="17" t="s">
        <v>216</v>
      </c>
      <c r="H547" s="17" t="s">
        <v>217</v>
      </c>
      <c r="I547" s="17" t="s">
        <v>218</v>
      </c>
      <c r="J547" s="17" t="s">
        <v>219</v>
      </c>
      <c r="K547" s="17" t="n">
        <v>37</v>
      </c>
      <c r="L547" s="17" t="s">
        <v>98</v>
      </c>
      <c r="M547" s="17" t="s">
        <v>62</v>
      </c>
      <c r="N547" s="19" t="n">
        <v>2.31</v>
      </c>
      <c r="O547" s="19" t="n">
        <v>85.47</v>
      </c>
      <c r="P547" s="17" t="s">
        <v>33</v>
      </c>
      <c r="Q547" s="20" t="n">
        <f aca="false">DATE(D547,C547,B547)</f>
        <v>44199</v>
      </c>
      <c r="R547" s="17" t="str">
        <f aca="false">IF(HOUR(E547)&lt;6,"Madrugada (0-5 h)",IF(HOUR(E547)&lt;12,"Mañana (6-11 h)",IF(HOUR(E547)&lt;18,"Tarde (12-17 h)","Noche (18-23 h)")))</f>
        <v>Noche (18-23 h)</v>
      </c>
    </row>
    <row r="548" customFormat="false" ht="15" hidden="false" customHeight="false" outlineLevel="0" collapsed="false">
      <c r="A548" s="17" t="n">
        <v>1547</v>
      </c>
      <c r="B548" s="17" t="n">
        <v>10</v>
      </c>
      <c r="C548" s="17" t="n">
        <v>12</v>
      </c>
      <c r="D548" s="17" t="n">
        <v>2021</v>
      </c>
      <c r="E548" s="18" t="n">
        <v>0.159513888888889</v>
      </c>
      <c r="F548" s="17" t="n">
        <v>1484</v>
      </c>
      <c r="G548" s="17" t="s">
        <v>220</v>
      </c>
      <c r="H548" s="17" t="s">
        <v>221</v>
      </c>
      <c r="I548" s="17" t="s">
        <v>222</v>
      </c>
      <c r="J548" s="17" t="s">
        <v>223</v>
      </c>
      <c r="K548" s="17" t="n">
        <v>46</v>
      </c>
      <c r="L548" s="17" t="s">
        <v>31</v>
      </c>
      <c r="M548" s="17" t="s">
        <v>32</v>
      </c>
      <c r="N548" s="19" t="n">
        <v>6.53</v>
      </c>
      <c r="O548" s="19" t="n">
        <v>300.38</v>
      </c>
      <c r="P548" s="17" t="s">
        <v>33</v>
      </c>
      <c r="Q548" s="20" t="n">
        <f aca="false">DATE(D548,C548,B548)</f>
        <v>44540</v>
      </c>
      <c r="R548" s="17" t="str">
        <f aca="false">IF(HOUR(E548)&lt;6,"Madrugada (0-5 h)",IF(HOUR(E548)&lt;12,"Mañana (6-11 h)",IF(HOUR(E548)&lt;18,"Tarde (12-17 h)","Noche (18-23 h)")))</f>
        <v>Madrugada (0-5 h)</v>
      </c>
    </row>
    <row r="549" customFormat="false" ht="15" hidden="false" customHeight="false" outlineLevel="0" collapsed="false">
      <c r="A549" s="17" t="n">
        <v>1548</v>
      </c>
      <c r="B549" s="17" t="n">
        <v>5</v>
      </c>
      <c r="C549" s="17" t="n">
        <v>3</v>
      </c>
      <c r="D549" s="17" t="n">
        <v>2022</v>
      </c>
      <c r="E549" s="18" t="n">
        <v>0.453784722222222</v>
      </c>
      <c r="F549" s="17" t="n">
        <v>3799</v>
      </c>
      <c r="G549" s="17" t="s">
        <v>224</v>
      </c>
      <c r="H549" s="17" t="s">
        <v>225</v>
      </c>
      <c r="I549" s="17" t="s">
        <v>222</v>
      </c>
      <c r="J549" s="17" t="s">
        <v>223</v>
      </c>
      <c r="K549" s="17" t="n">
        <v>50</v>
      </c>
      <c r="L549" s="17" t="s">
        <v>31</v>
      </c>
      <c r="M549" s="17" t="s">
        <v>32</v>
      </c>
      <c r="N549" s="19" t="n">
        <v>2.45</v>
      </c>
      <c r="O549" s="19" t="n">
        <v>122.5</v>
      </c>
      <c r="P549" s="17" t="s">
        <v>33</v>
      </c>
      <c r="Q549" s="20" t="n">
        <f aca="false">DATE(D549,C549,B549)</f>
        <v>44625</v>
      </c>
      <c r="R549" s="17" t="str">
        <f aca="false">IF(HOUR(E549)&lt;6,"Madrugada (0-5 h)",IF(HOUR(E549)&lt;12,"Mañana (6-11 h)",IF(HOUR(E549)&lt;18,"Tarde (12-17 h)","Noche (18-23 h)")))</f>
        <v>Mañana (6-11 h)</v>
      </c>
    </row>
    <row r="550" customFormat="false" ht="15" hidden="false" customHeight="false" outlineLevel="0" collapsed="false">
      <c r="A550" s="17" t="n">
        <v>1549</v>
      </c>
      <c r="B550" s="17" t="n">
        <v>10</v>
      </c>
      <c r="C550" s="17" t="n">
        <v>4</v>
      </c>
      <c r="D550" s="17" t="n">
        <v>2022</v>
      </c>
      <c r="E550" s="18" t="n">
        <v>0.730081018518519</v>
      </c>
      <c r="F550" s="17" t="n">
        <v>3462</v>
      </c>
      <c r="G550" s="17" t="s">
        <v>226</v>
      </c>
      <c r="H550" s="17" t="s">
        <v>227</v>
      </c>
      <c r="I550" s="17" t="s">
        <v>228</v>
      </c>
      <c r="J550" s="17" t="s">
        <v>229</v>
      </c>
      <c r="K550" s="17" t="n">
        <v>7</v>
      </c>
      <c r="L550" s="17" t="s">
        <v>125</v>
      </c>
      <c r="M550" s="17" t="s">
        <v>76</v>
      </c>
      <c r="N550" s="19" t="n">
        <v>3.03</v>
      </c>
      <c r="O550" s="19" t="n">
        <v>21.21</v>
      </c>
      <c r="P550" s="17" t="s">
        <v>33</v>
      </c>
      <c r="Q550" s="20" t="n">
        <f aca="false">DATE(D550,C550,B550)</f>
        <v>44661</v>
      </c>
      <c r="R550" s="17" t="str">
        <f aca="false">IF(HOUR(E550)&lt;6,"Madrugada (0-5 h)",IF(HOUR(E550)&lt;12,"Mañana (6-11 h)",IF(HOUR(E550)&lt;18,"Tarde (12-17 h)","Noche (18-23 h)")))</f>
        <v>Tarde (12-17 h)</v>
      </c>
    </row>
    <row r="551" customFormat="false" ht="15" hidden="false" customHeight="false" outlineLevel="0" collapsed="false">
      <c r="A551" s="17" t="n">
        <v>1550</v>
      </c>
      <c r="B551" s="17" t="n">
        <v>17</v>
      </c>
      <c r="C551" s="17" t="n">
        <v>6</v>
      </c>
      <c r="D551" s="17" t="n">
        <v>2022</v>
      </c>
      <c r="E551" s="18" t="n">
        <v>0.391655092592593</v>
      </c>
      <c r="F551" s="17" t="n">
        <v>2474</v>
      </c>
      <c r="G551" s="17" t="s">
        <v>230</v>
      </c>
      <c r="H551" s="17" t="s">
        <v>231</v>
      </c>
      <c r="I551" s="17" t="s">
        <v>232</v>
      </c>
      <c r="J551" s="17" t="s">
        <v>233</v>
      </c>
      <c r="K551" s="17" t="n">
        <v>28</v>
      </c>
      <c r="L551" s="17" t="s">
        <v>81</v>
      </c>
      <c r="M551" s="17" t="s">
        <v>76</v>
      </c>
      <c r="N551" s="19" t="n">
        <v>5.42</v>
      </c>
      <c r="O551" s="19" t="n">
        <v>151.76</v>
      </c>
      <c r="P551" s="17" t="s">
        <v>33</v>
      </c>
      <c r="Q551" s="20" t="n">
        <f aca="false">DATE(D551,C551,B551)</f>
        <v>44729</v>
      </c>
      <c r="R551" s="17" t="str">
        <f aca="false">IF(HOUR(E551)&lt;6,"Madrugada (0-5 h)",IF(HOUR(E551)&lt;12,"Mañana (6-11 h)",IF(HOUR(E551)&lt;18,"Tarde (12-17 h)","Noche (18-23 h)")))</f>
        <v>Mañana (6-11 h)</v>
      </c>
    </row>
    <row r="552" customFormat="false" ht="15" hidden="false" customHeight="false" outlineLevel="0" collapsed="false">
      <c r="A552" s="17" t="n">
        <v>1551</v>
      </c>
      <c r="B552" s="17" t="n">
        <v>24</v>
      </c>
      <c r="C552" s="17" t="n">
        <v>2</v>
      </c>
      <c r="D552" s="17" t="n">
        <v>2021</v>
      </c>
      <c r="E552" s="18" t="n">
        <v>0.696134259259259</v>
      </c>
      <c r="F552" s="17" t="n">
        <v>1075</v>
      </c>
      <c r="G552" s="17" t="s">
        <v>234</v>
      </c>
      <c r="H552" s="17" t="s">
        <v>235</v>
      </c>
      <c r="I552" s="17" t="s">
        <v>236</v>
      </c>
      <c r="J552" s="17" t="s">
        <v>237</v>
      </c>
      <c r="K552" s="17" t="n">
        <v>22</v>
      </c>
      <c r="L552" s="17" t="s">
        <v>81</v>
      </c>
      <c r="M552" s="17" t="s">
        <v>82</v>
      </c>
      <c r="N552" s="19" t="n">
        <v>25.45</v>
      </c>
      <c r="O552" s="19" t="n">
        <v>559.9</v>
      </c>
      <c r="P552" s="17" t="s">
        <v>33</v>
      </c>
      <c r="Q552" s="20" t="n">
        <f aca="false">DATE(D552,C552,B552)</f>
        <v>44251</v>
      </c>
      <c r="R552" s="17" t="str">
        <f aca="false">IF(HOUR(E552)&lt;6,"Madrugada (0-5 h)",IF(HOUR(E552)&lt;12,"Mañana (6-11 h)",IF(HOUR(E552)&lt;18,"Tarde (12-17 h)","Noche (18-23 h)")))</f>
        <v>Tarde (12-17 h)</v>
      </c>
    </row>
    <row r="553" customFormat="false" ht="15" hidden="false" customHeight="false" outlineLevel="0" collapsed="false">
      <c r="A553" s="17" t="n">
        <v>1552</v>
      </c>
      <c r="B553" s="17" t="n">
        <v>17</v>
      </c>
      <c r="C553" s="17" t="n">
        <v>10</v>
      </c>
      <c r="D553" s="17" t="n">
        <v>2021</v>
      </c>
      <c r="E553" s="18" t="n">
        <v>0.812893518518519</v>
      </c>
      <c r="F553" s="17" t="n">
        <v>3070</v>
      </c>
      <c r="G553" s="17" t="s">
        <v>238</v>
      </c>
      <c r="H553" s="17" t="s">
        <v>239</v>
      </c>
      <c r="I553" s="17" t="s">
        <v>240</v>
      </c>
      <c r="J553" s="17" t="s">
        <v>241</v>
      </c>
      <c r="K553" s="17" t="n">
        <v>29</v>
      </c>
      <c r="L553" s="17" t="s">
        <v>81</v>
      </c>
      <c r="M553" s="17" t="s">
        <v>82</v>
      </c>
      <c r="N553" s="19" t="n">
        <v>18.05</v>
      </c>
      <c r="O553" s="19" t="n">
        <v>523.45</v>
      </c>
      <c r="P553" s="17" t="s">
        <v>33</v>
      </c>
      <c r="Q553" s="20" t="n">
        <f aca="false">DATE(D553,C553,B553)</f>
        <v>44486</v>
      </c>
      <c r="R553" s="17" t="str">
        <f aca="false">IF(HOUR(E553)&lt;6,"Madrugada (0-5 h)",IF(HOUR(E553)&lt;12,"Mañana (6-11 h)",IF(HOUR(E553)&lt;18,"Tarde (12-17 h)","Noche (18-23 h)")))</f>
        <v>Noche (18-23 h)</v>
      </c>
    </row>
    <row r="554" customFormat="false" ht="15" hidden="false" customHeight="false" outlineLevel="0" collapsed="false">
      <c r="A554" s="17" t="n">
        <v>1553</v>
      </c>
      <c r="B554" s="17" t="n">
        <v>10</v>
      </c>
      <c r="C554" s="17" t="n">
        <v>11</v>
      </c>
      <c r="D554" s="17" t="n">
        <v>2021</v>
      </c>
      <c r="E554" s="18" t="n">
        <v>0.00527777777777778</v>
      </c>
      <c r="F554" s="17" t="n">
        <v>3627</v>
      </c>
      <c r="G554" s="17" t="s">
        <v>242</v>
      </c>
      <c r="H554" s="17" t="s">
        <v>243</v>
      </c>
      <c r="I554" s="17" t="s">
        <v>244</v>
      </c>
      <c r="J554" s="17" t="s">
        <v>245</v>
      </c>
      <c r="K554" s="17" t="n">
        <v>49</v>
      </c>
      <c r="L554" s="17" t="s">
        <v>81</v>
      </c>
      <c r="M554" s="17" t="s">
        <v>76</v>
      </c>
      <c r="N554" s="19" t="n">
        <v>5.38</v>
      </c>
      <c r="O554" s="19" t="n">
        <v>263.62</v>
      </c>
      <c r="P554" s="17" t="s">
        <v>33</v>
      </c>
      <c r="Q554" s="20" t="n">
        <f aca="false">DATE(D554,C554,B554)</f>
        <v>44510</v>
      </c>
      <c r="R554" s="17" t="str">
        <f aca="false">IF(HOUR(E554)&lt;6,"Madrugada (0-5 h)",IF(HOUR(E554)&lt;12,"Mañana (6-11 h)",IF(HOUR(E554)&lt;18,"Tarde (12-17 h)","Noche (18-23 h)")))</f>
        <v>Madrugada (0-5 h)</v>
      </c>
    </row>
    <row r="555" customFormat="false" ht="15" hidden="false" customHeight="false" outlineLevel="0" collapsed="false">
      <c r="A555" s="17" t="n">
        <v>1554</v>
      </c>
      <c r="B555" s="17" t="n">
        <v>18</v>
      </c>
      <c r="C555" s="17" t="n">
        <v>10</v>
      </c>
      <c r="D555" s="17" t="n">
        <v>2022</v>
      </c>
      <c r="E555" s="18" t="n">
        <v>0.850625</v>
      </c>
      <c r="F555" s="17" t="n">
        <v>4466</v>
      </c>
      <c r="G555" s="17" t="s">
        <v>246</v>
      </c>
      <c r="H555" s="17" t="s">
        <v>451</v>
      </c>
      <c r="I555" s="17" t="s">
        <v>244</v>
      </c>
      <c r="J555" s="17" t="s">
        <v>248</v>
      </c>
      <c r="K555" s="17" t="n">
        <v>45</v>
      </c>
      <c r="L555" s="17" t="s">
        <v>81</v>
      </c>
      <c r="M555" s="17" t="s">
        <v>76</v>
      </c>
      <c r="N555" s="19" t="n">
        <v>9.89</v>
      </c>
      <c r="O555" s="19" t="n">
        <v>445.05</v>
      </c>
      <c r="P555" s="17" t="s">
        <v>33</v>
      </c>
      <c r="Q555" s="20" t="n">
        <f aca="false">DATE(D555,C555,B555)</f>
        <v>44852</v>
      </c>
      <c r="R555" s="17" t="str">
        <f aca="false">IF(HOUR(E555)&lt;6,"Madrugada (0-5 h)",IF(HOUR(E555)&lt;12,"Mañana (6-11 h)",IF(HOUR(E555)&lt;18,"Tarde (12-17 h)","Noche (18-23 h)")))</f>
        <v>Noche (18-23 h)</v>
      </c>
    </row>
    <row r="556" customFormat="false" ht="15" hidden="false" customHeight="false" outlineLevel="0" collapsed="false">
      <c r="A556" s="17" t="n">
        <v>1555</v>
      </c>
      <c r="B556" s="17" t="n">
        <v>7</v>
      </c>
      <c r="C556" s="17" t="n">
        <v>9</v>
      </c>
      <c r="D556" s="17" t="n">
        <v>2022</v>
      </c>
      <c r="E556" s="18" t="n">
        <v>0.498148148148148</v>
      </c>
      <c r="F556" s="17" t="n">
        <v>2031</v>
      </c>
      <c r="G556" s="17" t="s">
        <v>249</v>
      </c>
      <c r="H556" s="17" t="s">
        <v>250</v>
      </c>
      <c r="I556" s="17" t="s">
        <v>251</v>
      </c>
      <c r="J556" s="17" t="s">
        <v>252</v>
      </c>
      <c r="K556" s="17" t="n">
        <v>3</v>
      </c>
      <c r="L556" s="17" t="s">
        <v>125</v>
      </c>
      <c r="M556" s="17" t="s">
        <v>82</v>
      </c>
      <c r="N556" s="19" t="n">
        <v>25.45</v>
      </c>
      <c r="O556" s="19" t="n">
        <v>76.35</v>
      </c>
      <c r="P556" s="17" t="s">
        <v>33</v>
      </c>
      <c r="Q556" s="20" t="n">
        <f aca="false">DATE(D556,C556,B556)</f>
        <v>44811</v>
      </c>
      <c r="R556" s="17" t="str">
        <f aca="false">IF(HOUR(E556)&lt;6,"Madrugada (0-5 h)",IF(HOUR(E556)&lt;12,"Mañana (6-11 h)",IF(HOUR(E556)&lt;18,"Tarde (12-17 h)","Noche (18-23 h)")))</f>
        <v>Mañana (6-11 h)</v>
      </c>
    </row>
    <row r="557" customFormat="false" ht="15" hidden="false" customHeight="false" outlineLevel="0" collapsed="false">
      <c r="A557" s="17" t="n">
        <v>1556</v>
      </c>
      <c r="B557" s="17" t="n">
        <v>17</v>
      </c>
      <c r="C557" s="17" t="n">
        <v>5</v>
      </c>
      <c r="D557" s="17" t="n">
        <v>2021</v>
      </c>
      <c r="E557" s="18" t="n">
        <v>0.939768518518519</v>
      </c>
      <c r="F557" s="17" t="n">
        <v>4303</v>
      </c>
      <c r="G557" s="17" t="s">
        <v>253</v>
      </c>
      <c r="H557" s="17" t="s">
        <v>250</v>
      </c>
      <c r="I557" s="17" t="s">
        <v>254</v>
      </c>
      <c r="J557" s="17" t="s">
        <v>255</v>
      </c>
      <c r="K557" s="17" t="n">
        <v>28</v>
      </c>
      <c r="L557" s="17" t="s">
        <v>125</v>
      </c>
      <c r="M557" s="17" t="s">
        <v>82</v>
      </c>
      <c r="N557" s="19" t="n">
        <v>16.34</v>
      </c>
      <c r="O557" s="19" t="n">
        <v>457.52</v>
      </c>
      <c r="P557" s="17" t="s">
        <v>33</v>
      </c>
      <c r="Q557" s="20" t="n">
        <f aca="false">DATE(D557,C557,B557)</f>
        <v>44333</v>
      </c>
      <c r="R557" s="17" t="str">
        <f aca="false">IF(HOUR(E557)&lt;6,"Madrugada (0-5 h)",IF(HOUR(E557)&lt;12,"Mañana (6-11 h)",IF(HOUR(E557)&lt;18,"Tarde (12-17 h)","Noche (18-23 h)")))</f>
        <v>Noche (18-23 h)</v>
      </c>
    </row>
    <row r="558" customFormat="false" ht="15" hidden="false" customHeight="false" outlineLevel="0" collapsed="false">
      <c r="A558" s="17" t="n">
        <v>1557</v>
      </c>
      <c r="B558" s="17" t="n">
        <v>1</v>
      </c>
      <c r="C558" s="17" t="n">
        <v>6</v>
      </c>
      <c r="D558" s="17" t="n">
        <v>2021</v>
      </c>
      <c r="E558" s="18" t="n">
        <v>0.583414351851852</v>
      </c>
      <c r="F558" s="17" t="n">
        <v>4250</v>
      </c>
      <c r="G558" s="17" t="s">
        <v>256</v>
      </c>
      <c r="H558" s="17" t="s">
        <v>257</v>
      </c>
      <c r="I558" s="17" t="s">
        <v>258</v>
      </c>
      <c r="J558" s="17" t="s">
        <v>259</v>
      </c>
      <c r="K558" s="17" t="n">
        <v>26</v>
      </c>
      <c r="L558" s="17" t="s">
        <v>125</v>
      </c>
      <c r="M558" s="17" t="s">
        <v>82</v>
      </c>
      <c r="N558" s="19" t="n">
        <v>13.32</v>
      </c>
      <c r="O558" s="19" t="n">
        <v>346.32</v>
      </c>
      <c r="P558" s="17" t="s">
        <v>33</v>
      </c>
      <c r="Q558" s="20" t="n">
        <f aca="false">DATE(D558,C558,B558)</f>
        <v>44348</v>
      </c>
      <c r="R558" s="17" t="str">
        <f aca="false">IF(HOUR(E558)&lt;6,"Madrugada (0-5 h)",IF(HOUR(E558)&lt;12,"Mañana (6-11 h)",IF(HOUR(E558)&lt;18,"Tarde (12-17 h)","Noche (18-23 h)")))</f>
        <v>Tarde (12-17 h)</v>
      </c>
    </row>
    <row r="559" customFormat="false" ht="15" hidden="false" customHeight="false" outlineLevel="0" collapsed="false">
      <c r="A559" s="17" t="n">
        <v>1558</v>
      </c>
      <c r="B559" s="17" t="n">
        <v>1</v>
      </c>
      <c r="C559" s="17" t="n">
        <v>8</v>
      </c>
      <c r="D559" s="17" t="n">
        <v>2022</v>
      </c>
      <c r="E559" s="18" t="n">
        <v>0.972997685185185</v>
      </c>
      <c r="F559" s="17" t="n">
        <v>2257</v>
      </c>
      <c r="G559" s="17" t="s">
        <v>260</v>
      </c>
      <c r="H559" s="17" t="s">
        <v>261</v>
      </c>
      <c r="I559" s="17" t="s">
        <v>262</v>
      </c>
      <c r="J559" s="17" t="s">
        <v>263</v>
      </c>
      <c r="K559" s="17" t="n">
        <v>19</v>
      </c>
      <c r="L559" s="17" t="s">
        <v>125</v>
      </c>
      <c r="M559" s="17" t="s">
        <v>82</v>
      </c>
      <c r="N559" s="19" t="n">
        <v>10.1</v>
      </c>
      <c r="O559" s="19" t="n">
        <v>191.9</v>
      </c>
      <c r="P559" s="17" t="s">
        <v>33</v>
      </c>
      <c r="Q559" s="20" t="n">
        <f aca="false">DATE(D559,C559,B559)</f>
        <v>44774</v>
      </c>
      <c r="R559" s="17" t="str">
        <f aca="false">IF(HOUR(E559)&lt;6,"Madrugada (0-5 h)",IF(HOUR(E559)&lt;12,"Mañana (6-11 h)",IF(HOUR(E559)&lt;18,"Tarde (12-17 h)","Noche (18-23 h)")))</f>
        <v>Noche (18-23 h)</v>
      </c>
    </row>
    <row r="560" customFormat="false" ht="15" hidden="false" customHeight="false" outlineLevel="0" collapsed="false">
      <c r="A560" s="17" t="n">
        <v>1559</v>
      </c>
      <c r="B560" s="17" t="n">
        <v>28</v>
      </c>
      <c r="C560" s="17" t="n">
        <v>4</v>
      </c>
      <c r="D560" s="17" t="n">
        <v>2022</v>
      </c>
      <c r="E560" s="18" t="n">
        <v>0.623993055555556</v>
      </c>
      <c r="F560" s="17" t="n">
        <v>4134</v>
      </c>
      <c r="G560" s="17" t="s">
        <v>264</v>
      </c>
      <c r="H560" s="17" t="s">
        <v>452</v>
      </c>
      <c r="I560" s="17" t="s">
        <v>266</v>
      </c>
      <c r="J560" s="17" t="s">
        <v>129</v>
      </c>
      <c r="K560" s="17" t="n">
        <v>22</v>
      </c>
      <c r="L560" s="17" t="s">
        <v>61</v>
      </c>
      <c r="M560" s="17" t="s">
        <v>32</v>
      </c>
      <c r="N560" s="19" t="n">
        <v>4.56</v>
      </c>
      <c r="O560" s="19" t="n">
        <v>100.32</v>
      </c>
      <c r="P560" s="17" t="s">
        <v>33</v>
      </c>
      <c r="Q560" s="20" t="n">
        <f aca="false">DATE(D560,C560,B560)</f>
        <v>44679</v>
      </c>
      <c r="R560" s="17" t="str">
        <f aca="false">IF(HOUR(E560)&lt;6,"Madrugada (0-5 h)",IF(HOUR(E560)&lt;12,"Mañana (6-11 h)",IF(HOUR(E560)&lt;18,"Tarde (12-17 h)","Noche (18-23 h)")))</f>
        <v>Tarde (12-17 h)</v>
      </c>
    </row>
    <row r="561" customFormat="false" ht="15" hidden="false" customHeight="false" outlineLevel="0" collapsed="false">
      <c r="A561" s="17" t="n">
        <v>1560</v>
      </c>
      <c r="B561" s="17" t="n">
        <v>8</v>
      </c>
      <c r="C561" s="17" t="n">
        <v>10</v>
      </c>
      <c r="D561" s="17" t="n">
        <v>2021</v>
      </c>
      <c r="E561" s="18" t="n">
        <v>0.63087962962963</v>
      </c>
      <c r="F561" s="17" t="n">
        <v>3153</v>
      </c>
      <c r="G561" s="17" t="s">
        <v>267</v>
      </c>
      <c r="H561" s="17" t="s">
        <v>267</v>
      </c>
      <c r="I561" s="17" t="s">
        <v>93</v>
      </c>
      <c r="J561" s="17" t="s">
        <v>268</v>
      </c>
      <c r="K561" s="17" t="n">
        <v>7</v>
      </c>
      <c r="L561" s="17" t="s">
        <v>61</v>
      </c>
      <c r="M561" s="17" t="s">
        <v>32</v>
      </c>
      <c r="N561" s="19" t="n">
        <v>5.56</v>
      </c>
      <c r="O561" s="19" t="n">
        <v>38.92</v>
      </c>
      <c r="P561" s="17" t="s">
        <v>33</v>
      </c>
      <c r="Q561" s="20" t="n">
        <f aca="false">DATE(D561,C561,B561)</f>
        <v>44477</v>
      </c>
      <c r="R561" s="17" t="str">
        <f aca="false">IF(HOUR(E561)&lt;6,"Madrugada (0-5 h)",IF(HOUR(E561)&lt;12,"Mañana (6-11 h)",IF(HOUR(E561)&lt;18,"Tarde (12-17 h)","Noche (18-23 h)")))</f>
        <v>Tarde (12-17 h)</v>
      </c>
    </row>
    <row r="562" customFormat="false" ht="15" hidden="false" customHeight="false" outlineLevel="0" collapsed="false">
      <c r="A562" s="17" t="n">
        <v>1561</v>
      </c>
      <c r="B562" s="17" t="n">
        <v>26</v>
      </c>
      <c r="C562" s="17" t="n">
        <v>6</v>
      </c>
      <c r="D562" s="17" t="n">
        <v>2021</v>
      </c>
      <c r="E562" s="18" t="n">
        <v>0.290775462962963</v>
      </c>
      <c r="F562" s="17" t="n">
        <v>1524</v>
      </c>
      <c r="G562" s="17" t="s">
        <v>269</v>
      </c>
      <c r="H562" s="17" t="s">
        <v>270</v>
      </c>
      <c r="I562" s="17" t="s">
        <v>271</v>
      </c>
      <c r="J562" s="17" t="s">
        <v>272</v>
      </c>
      <c r="K562" s="17" t="n">
        <v>33</v>
      </c>
      <c r="L562" s="17" t="s">
        <v>61</v>
      </c>
      <c r="M562" s="17" t="s">
        <v>32</v>
      </c>
      <c r="N562" s="19" t="n">
        <v>3.43</v>
      </c>
      <c r="O562" s="19" t="n">
        <v>113.19</v>
      </c>
      <c r="P562" s="17" t="s">
        <v>33</v>
      </c>
      <c r="Q562" s="20" t="n">
        <f aca="false">DATE(D562,C562,B562)</f>
        <v>44373</v>
      </c>
      <c r="R562" s="17" t="str">
        <f aca="false">IF(HOUR(E562)&lt;6,"Madrugada (0-5 h)",IF(HOUR(E562)&lt;12,"Mañana (6-11 h)",IF(HOUR(E562)&lt;18,"Tarde (12-17 h)","Noche (18-23 h)")))</f>
        <v>Mañana (6-11 h)</v>
      </c>
    </row>
    <row r="563" customFormat="false" ht="15" hidden="false" customHeight="false" outlineLevel="0" collapsed="false">
      <c r="A563" s="17" t="n">
        <v>1562</v>
      </c>
      <c r="B563" s="17" t="n">
        <v>1</v>
      </c>
      <c r="C563" s="17" t="n">
        <v>6</v>
      </c>
      <c r="D563" s="17" t="n">
        <v>2022</v>
      </c>
      <c r="E563" s="18" t="n">
        <v>0.611828703703704</v>
      </c>
      <c r="F563" s="17" t="n">
        <v>3319</v>
      </c>
      <c r="G563" s="17" t="s">
        <v>273</v>
      </c>
      <c r="H563" s="17" t="s">
        <v>274</v>
      </c>
      <c r="I563" s="17" t="s">
        <v>275</v>
      </c>
      <c r="J563" s="17" t="s">
        <v>276</v>
      </c>
      <c r="K563" s="17" t="n">
        <v>41</v>
      </c>
      <c r="L563" s="17" t="s">
        <v>31</v>
      </c>
      <c r="M563" s="17" t="s">
        <v>32</v>
      </c>
      <c r="N563" s="19" t="n">
        <v>15.02</v>
      </c>
      <c r="O563" s="19" t="n">
        <v>615.82</v>
      </c>
      <c r="P563" s="17" t="s">
        <v>33</v>
      </c>
      <c r="Q563" s="20" t="n">
        <f aca="false">DATE(D563,C563,B563)</f>
        <v>44713</v>
      </c>
      <c r="R563" s="17" t="str">
        <f aca="false">IF(HOUR(E563)&lt;6,"Madrugada (0-5 h)",IF(HOUR(E563)&lt;12,"Mañana (6-11 h)",IF(HOUR(E563)&lt;18,"Tarde (12-17 h)","Noche (18-23 h)")))</f>
        <v>Tarde (12-17 h)</v>
      </c>
    </row>
    <row r="564" customFormat="false" ht="15" hidden="false" customHeight="false" outlineLevel="0" collapsed="false">
      <c r="A564" s="17" t="n">
        <v>1563</v>
      </c>
      <c r="B564" s="17" t="n">
        <v>16</v>
      </c>
      <c r="C564" s="17" t="n">
        <v>10</v>
      </c>
      <c r="D564" s="17" t="n">
        <v>2021</v>
      </c>
      <c r="E564" s="18" t="n">
        <v>0.00186342592592593</v>
      </c>
      <c r="F564" s="17" t="n">
        <v>4217</v>
      </c>
      <c r="G564" s="17" t="s">
        <v>277</v>
      </c>
      <c r="H564" s="17" t="s">
        <v>278</v>
      </c>
      <c r="I564" s="17" t="s">
        <v>279</v>
      </c>
      <c r="J564" s="17" t="s">
        <v>280</v>
      </c>
      <c r="K564" s="17" t="n">
        <v>48</v>
      </c>
      <c r="L564" s="17" t="s">
        <v>31</v>
      </c>
      <c r="M564" s="17" t="s">
        <v>32</v>
      </c>
      <c r="N564" s="19" t="n">
        <v>2.02</v>
      </c>
      <c r="O564" s="19" t="n">
        <v>96.96</v>
      </c>
      <c r="P564" s="17" t="s">
        <v>33</v>
      </c>
      <c r="Q564" s="20" t="n">
        <f aca="false">DATE(D564,C564,B564)</f>
        <v>44485</v>
      </c>
      <c r="R564" s="17" t="str">
        <f aca="false">IF(HOUR(E564)&lt;6,"Madrugada (0-5 h)",IF(HOUR(E564)&lt;12,"Mañana (6-11 h)",IF(HOUR(E564)&lt;18,"Tarde (12-17 h)","Noche (18-23 h)")))</f>
        <v>Madrugada (0-5 h)</v>
      </c>
    </row>
    <row r="565" customFormat="false" ht="15" hidden="false" customHeight="false" outlineLevel="0" collapsed="false">
      <c r="A565" s="17" t="n">
        <v>1564</v>
      </c>
      <c r="B565" s="17" t="n">
        <v>16</v>
      </c>
      <c r="C565" s="17" t="n">
        <v>6</v>
      </c>
      <c r="D565" s="17" t="n">
        <v>2022</v>
      </c>
      <c r="E565" s="18" t="n">
        <v>0.65724537037037</v>
      </c>
      <c r="F565" s="17" t="n">
        <v>4695</v>
      </c>
      <c r="G565" s="17" t="s">
        <v>224</v>
      </c>
      <c r="H565" s="17" t="s">
        <v>224</v>
      </c>
      <c r="I565" s="17" t="s">
        <v>281</v>
      </c>
      <c r="J565" s="17" t="s">
        <v>282</v>
      </c>
      <c r="K565" s="17" t="n">
        <v>33</v>
      </c>
      <c r="L565" s="17" t="s">
        <v>31</v>
      </c>
      <c r="M565" s="17" t="s">
        <v>32</v>
      </c>
      <c r="N565" s="19" t="n">
        <v>2.45</v>
      </c>
      <c r="O565" s="19" t="n">
        <v>80.85</v>
      </c>
      <c r="P565" s="17" t="s">
        <v>33</v>
      </c>
      <c r="Q565" s="20" t="n">
        <f aca="false">DATE(D565,C565,B565)</f>
        <v>44728</v>
      </c>
      <c r="R565" s="17" t="str">
        <f aca="false">IF(HOUR(E565)&lt;6,"Madrugada (0-5 h)",IF(HOUR(E565)&lt;12,"Mañana (6-11 h)",IF(HOUR(E565)&lt;18,"Tarde (12-17 h)","Noche (18-23 h)")))</f>
        <v>Tarde (12-17 h)</v>
      </c>
    </row>
    <row r="566" customFormat="false" ht="15" hidden="false" customHeight="false" outlineLevel="0" collapsed="false">
      <c r="A566" s="17" t="n">
        <v>1565</v>
      </c>
      <c r="B566" s="17" t="n">
        <v>20</v>
      </c>
      <c r="C566" s="17" t="n">
        <v>9</v>
      </c>
      <c r="D566" s="17" t="n">
        <v>2021</v>
      </c>
      <c r="E566" s="18" t="n">
        <v>0.831400462962963</v>
      </c>
      <c r="F566" s="17" t="n">
        <v>2921</v>
      </c>
      <c r="G566" s="17" t="s">
        <v>220</v>
      </c>
      <c r="H566" s="17" t="s">
        <v>221</v>
      </c>
      <c r="I566" s="17" t="s">
        <v>283</v>
      </c>
      <c r="J566" s="17" t="s">
        <v>284</v>
      </c>
      <c r="K566" s="17" t="n">
        <v>45</v>
      </c>
      <c r="L566" s="17" t="s">
        <v>31</v>
      </c>
      <c r="M566" s="17" t="s">
        <v>32</v>
      </c>
      <c r="N566" s="19" t="n">
        <v>6.53</v>
      </c>
      <c r="O566" s="19" t="n">
        <v>293.85</v>
      </c>
      <c r="P566" s="17" t="s">
        <v>33</v>
      </c>
      <c r="Q566" s="20" t="n">
        <f aca="false">DATE(D566,C566,B566)</f>
        <v>44459</v>
      </c>
      <c r="R566" s="17" t="str">
        <f aca="false">IF(HOUR(E566)&lt;6,"Madrugada (0-5 h)",IF(HOUR(E566)&lt;12,"Mañana (6-11 h)",IF(HOUR(E566)&lt;18,"Tarde (12-17 h)","Noche (18-23 h)")))</f>
        <v>Noche (18-23 h)</v>
      </c>
    </row>
    <row r="567" customFormat="false" ht="15" hidden="false" customHeight="false" outlineLevel="0" collapsed="false">
      <c r="A567" s="17" t="n">
        <v>1566</v>
      </c>
      <c r="B567" s="17" t="n">
        <v>21</v>
      </c>
      <c r="C567" s="17" t="n">
        <v>3</v>
      </c>
      <c r="D567" s="17" t="n">
        <v>2022</v>
      </c>
      <c r="E567" s="18" t="n">
        <v>0.510347222222222</v>
      </c>
      <c r="F567" s="17" t="n">
        <v>3897</v>
      </c>
      <c r="G567" s="17" t="s">
        <v>285</v>
      </c>
      <c r="H567" s="17" t="s">
        <v>286</v>
      </c>
      <c r="I567" s="17" t="s">
        <v>287</v>
      </c>
      <c r="J567" s="17" t="s">
        <v>288</v>
      </c>
      <c r="K567" s="17" t="n">
        <v>49</v>
      </c>
      <c r="L567" s="17" t="s">
        <v>31</v>
      </c>
      <c r="M567" s="17" t="s">
        <v>32</v>
      </c>
      <c r="N567" s="19" t="n">
        <v>5.55</v>
      </c>
      <c r="O567" s="19" t="n">
        <v>271.95</v>
      </c>
      <c r="P567" s="17" t="s">
        <v>33</v>
      </c>
      <c r="Q567" s="20" t="n">
        <f aca="false">DATE(D567,C567,B567)</f>
        <v>44641</v>
      </c>
      <c r="R567" s="17" t="str">
        <f aca="false">IF(HOUR(E567)&lt;6,"Madrugada (0-5 h)",IF(HOUR(E567)&lt;12,"Mañana (6-11 h)",IF(HOUR(E567)&lt;18,"Tarde (12-17 h)","Noche (18-23 h)")))</f>
        <v>Tarde (12-17 h)</v>
      </c>
    </row>
    <row r="568" customFormat="false" ht="15" hidden="false" customHeight="false" outlineLevel="0" collapsed="false">
      <c r="A568" s="17" t="n">
        <v>1567</v>
      </c>
      <c r="B568" s="17" t="n">
        <v>27</v>
      </c>
      <c r="C568" s="17" t="n">
        <v>12</v>
      </c>
      <c r="D568" s="17" t="n">
        <v>2021</v>
      </c>
      <c r="E568" s="18" t="n">
        <v>0.254178240740741</v>
      </c>
      <c r="F568" s="17" t="n">
        <v>3093</v>
      </c>
      <c r="G568" s="17" t="s">
        <v>91</v>
      </c>
      <c r="H568" s="17" t="s">
        <v>92</v>
      </c>
      <c r="I568" s="17" t="s">
        <v>289</v>
      </c>
      <c r="J568" s="17" t="s">
        <v>290</v>
      </c>
      <c r="K568" s="17" t="n">
        <v>37</v>
      </c>
      <c r="L568" s="17" t="s">
        <v>61</v>
      </c>
      <c r="M568" s="17" t="s">
        <v>32</v>
      </c>
      <c r="N568" s="19" t="n">
        <v>4.12</v>
      </c>
      <c r="O568" s="19" t="n">
        <v>152.44</v>
      </c>
      <c r="P568" s="17" t="s">
        <v>33</v>
      </c>
      <c r="Q568" s="20" t="n">
        <f aca="false">DATE(D568,C568,B568)</f>
        <v>44557</v>
      </c>
      <c r="R568" s="17" t="str">
        <f aca="false">IF(HOUR(E568)&lt;6,"Madrugada (0-5 h)",IF(HOUR(E568)&lt;12,"Mañana (6-11 h)",IF(HOUR(E568)&lt;18,"Tarde (12-17 h)","Noche (18-23 h)")))</f>
        <v>Mañana (6-11 h)</v>
      </c>
    </row>
    <row r="569" customFormat="false" ht="15" hidden="false" customHeight="false" outlineLevel="0" collapsed="false">
      <c r="A569" s="17" t="n">
        <v>1568</v>
      </c>
      <c r="B569" s="17" t="n">
        <v>6</v>
      </c>
      <c r="C569" s="17" t="n">
        <v>11</v>
      </c>
      <c r="D569" s="17" t="n">
        <v>2021</v>
      </c>
      <c r="E569" s="18" t="n">
        <v>0.180740740740741</v>
      </c>
      <c r="F569" s="17" t="n">
        <v>2540</v>
      </c>
      <c r="G569" s="17" t="s">
        <v>291</v>
      </c>
      <c r="H569" s="17" t="s">
        <v>453</v>
      </c>
      <c r="I569" s="17" t="s">
        <v>293</v>
      </c>
      <c r="J569" s="17" t="s">
        <v>294</v>
      </c>
      <c r="K569" s="17" t="n">
        <v>20</v>
      </c>
      <c r="L569" s="17" t="s">
        <v>42</v>
      </c>
      <c r="M569" s="17" t="s">
        <v>32</v>
      </c>
      <c r="N569" s="19" t="n">
        <v>5.76</v>
      </c>
      <c r="O569" s="19" t="n">
        <v>115.2</v>
      </c>
      <c r="P569" s="17" t="s">
        <v>33</v>
      </c>
      <c r="Q569" s="20" t="n">
        <f aca="false">DATE(D569,C569,B569)</f>
        <v>44506</v>
      </c>
      <c r="R569" s="17" t="str">
        <f aca="false">IF(HOUR(E569)&lt;6,"Madrugada (0-5 h)",IF(HOUR(E569)&lt;12,"Mañana (6-11 h)",IF(HOUR(E569)&lt;18,"Tarde (12-17 h)","Noche (18-23 h)")))</f>
        <v>Madrugada (0-5 h)</v>
      </c>
    </row>
    <row r="570" customFormat="false" ht="15" hidden="false" customHeight="false" outlineLevel="0" collapsed="false">
      <c r="A570" s="17" t="n">
        <v>1569</v>
      </c>
      <c r="B570" s="17" t="n">
        <v>6</v>
      </c>
      <c r="C570" s="17" t="n">
        <v>2</v>
      </c>
      <c r="D570" s="17" t="n">
        <v>2021</v>
      </c>
      <c r="E570" s="18" t="n">
        <v>0.913391203703704</v>
      </c>
      <c r="F570" s="17" t="n">
        <v>4527</v>
      </c>
      <c r="G570" s="17" t="s">
        <v>295</v>
      </c>
      <c r="H570" s="17" t="s">
        <v>296</v>
      </c>
      <c r="I570" s="17" t="s">
        <v>297</v>
      </c>
      <c r="J570" s="17" t="s">
        <v>298</v>
      </c>
      <c r="K570" s="17" t="n">
        <v>47</v>
      </c>
      <c r="L570" s="17" t="s">
        <v>98</v>
      </c>
      <c r="M570" s="17" t="s">
        <v>62</v>
      </c>
      <c r="N570" s="19" t="n">
        <v>3.5</v>
      </c>
      <c r="O570" s="19" t="n">
        <v>164.5</v>
      </c>
      <c r="P570" s="17" t="s">
        <v>33</v>
      </c>
      <c r="Q570" s="20" t="n">
        <f aca="false">DATE(D570,C570,B570)</f>
        <v>44233</v>
      </c>
      <c r="R570" s="17" t="str">
        <f aca="false">IF(HOUR(E570)&lt;6,"Madrugada (0-5 h)",IF(HOUR(E570)&lt;12,"Mañana (6-11 h)",IF(HOUR(E570)&lt;18,"Tarde (12-17 h)","Noche (18-23 h)")))</f>
        <v>Noche (18-23 h)</v>
      </c>
    </row>
    <row r="571" customFormat="false" ht="15" hidden="false" customHeight="false" outlineLevel="0" collapsed="false">
      <c r="A571" s="17" t="n">
        <v>1570</v>
      </c>
      <c r="B571" s="17" t="n">
        <v>7</v>
      </c>
      <c r="C571" s="17" t="n">
        <v>5</v>
      </c>
      <c r="D571" s="17" t="n">
        <v>2022</v>
      </c>
      <c r="E571" s="18" t="n">
        <v>0.965219907407407</v>
      </c>
      <c r="F571" s="17" t="n">
        <v>2889</v>
      </c>
      <c r="G571" s="17" t="s">
        <v>72</v>
      </c>
      <c r="H571" s="17" t="s">
        <v>299</v>
      </c>
      <c r="I571" s="17" t="s">
        <v>300</v>
      </c>
      <c r="J571" s="17" t="s">
        <v>301</v>
      </c>
      <c r="K571" s="17" t="n">
        <v>40</v>
      </c>
      <c r="L571" s="17" t="s">
        <v>61</v>
      </c>
      <c r="M571" s="17" t="s">
        <v>76</v>
      </c>
      <c r="N571" s="19" t="n">
        <v>13.71</v>
      </c>
      <c r="O571" s="19" t="n">
        <v>548.4</v>
      </c>
      <c r="P571" s="17" t="s">
        <v>33</v>
      </c>
      <c r="Q571" s="20" t="n">
        <f aca="false">DATE(D571,C571,B571)</f>
        <v>44688</v>
      </c>
      <c r="R571" s="17" t="str">
        <f aca="false">IF(HOUR(E571)&lt;6,"Madrugada (0-5 h)",IF(HOUR(E571)&lt;12,"Mañana (6-11 h)",IF(HOUR(E571)&lt;18,"Tarde (12-17 h)","Noche (18-23 h)")))</f>
        <v>Noche (18-23 h)</v>
      </c>
    </row>
    <row r="572" customFormat="false" ht="15" hidden="false" customHeight="false" outlineLevel="0" collapsed="false">
      <c r="A572" s="17" t="n">
        <v>1571</v>
      </c>
      <c r="B572" s="17" t="n">
        <v>27</v>
      </c>
      <c r="C572" s="17" t="n">
        <v>6</v>
      </c>
      <c r="D572" s="17" t="n">
        <v>2022</v>
      </c>
      <c r="E572" s="18" t="n">
        <v>0.916516203703704</v>
      </c>
      <c r="F572" s="17" t="n">
        <v>2803</v>
      </c>
      <c r="G572" s="17" t="s">
        <v>302</v>
      </c>
      <c r="H572" s="17" t="s">
        <v>303</v>
      </c>
      <c r="I572" s="17" t="s">
        <v>300</v>
      </c>
      <c r="J572" s="17" t="s">
        <v>301</v>
      </c>
      <c r="K572" s="17" t="n">
        <v>14</v>
      </c>
      <c r="L572" s="17" t="s">
        <v>61</v>
      </c>
      <c r="M572" s="17" t="s">
        <v>76</v>
      </c>
      <c r="N572" s="19" t="n">
        <v>22.36</v>
      </c>
      <c r="O572" s="19" t="n">
        <v>313.04</v>
      </c>
      <c r="P572" s="17" t="s">
        <v>33</v>
      </c>
      <c r="Q572" s="20" t="n">
        <f aca="false">DATE(D572,C572,B572)</f>
        <v>44739</v>
      </c>
      <c r="R572" s="17" t="str">
        <f aca="false">IF(HOUR(E572)&lt;6,"Madrugada (0-5 h)",IF(HOUR(E572)&lt;12,"Mañana (6-11 h)",IF(HOUR(E572)&lt;18,"Tarde (12-17 h)","Noche (18-23 h)")))</f>
        <v>Noche (18-23 h)</v>
      </c>
    </row>
    <row r="573" customFormat="false" ht="15" hidden="false" customHeight="false" outlineLevel="0" collapsed="false">
      <c r="A573" s="17" t="n">
        <v>1572</v>
      </c>
      <c r="B573" s="17" t="n">
        <v>12</v>
      </c>
      <c r="C573" s="17" t="n">
        <v>1</v>
      </c>
      <c r="D573" s="17" t="n">
        <v>2021</v>
      </c>
      <c r="E573" s="18" t="n">
        <v>0.739930555555556</v>
      </c>
      <c r="F573" s="17" t="n">
        <v>3121</v>
      </c>
      <c r="G573" s="17" t="s">
        <v>304</v>
      </c>
      <c r="H573" s="17" t="s">
        <v>305</v>
      </c>
      <c r="I573" s="17" t="s">
        <v>305</v>
      </c>
      <c r="J573" s="17" t="s">
        <v>306</v>
      </c>
      <c r="K573" s="17" t="n">
        <v>23</v>
      </c>
      <c r="L573" s="17" t="s">
        <v>31</v>
      </c>
      <c r="M573" s="17" t="s">
        <v>32</v>
      </c>
      <c r="N573" s="19" t="n">
        <v>6.68</v>
      </c>
      <c r="O573" s="19" t="n">
        <v>153.64</v>
      </c>
      <c r="P573" s="17" t="s">
        <v>33</v>
      </c>
      <c r="Q573" s="20" t="n">
        <f aca="false">DATE(D573,C573,B573)</f>
        <v>44208</v>
      </c>
      <c r="R573" s="17" t="str">
        <f aca="false">IF(HOUR(E573)&lt;6,"Madrugada (0-5 h)",IF(HOUR(E573)&lt;12,"Mañana (6-11 h)",IF(HOUR(E573)&lt;18,"Tarde (12-17 h)","Noche (18-23 h)")))</f>
        <v>Tarde (12-17 h)</v>
      </c>
    </row>
    <row r="574" customFormat="false" ht="15" hidden="false" customHeight="false" outlineLevel="0" collapsed="false">
      <c r="A574" s="17" t="n">
        <v>1573</v>
      </c>
      <c r="B574" s="17" t="n">
        <v>11</v>
      </c>
      <c r="C574" s="17" t="n">
        <v>9</v>
      </c>
      <c r="D574" s="17" t="n">
        <v>2021</v>
      </c>
      <c r="E574" s="18" t="n">
        <v>0.589201388888889</v>
      </c>
      <c r="F574" s="17" t="n">
        <v>1265</v>
      </c>
      <c r="G574" s="17" t="s">
        <v>307</v>
      </c>
      <c r="H574" s="17" t="s">
        <v>250</v>
      </c>
      <c r="I574" s="17" t="s">
        <v>308</v>
      </c>
      <c r="J574" s="17" t="s">
        <v>309</v>
      </c>
      <c r="K574" s="17" t="n">
        <v>20</v>
      </c>
      <c r="L574" s="17" t="s">
        <v>31</v>
      </c>
      <c r="M574" s="17" t="s">
        <v>32</v>
      </c>
      <c r="N574" s="19" t="n">
        <v>10.05</v>
      </c>
      <c r="O574" s="19" t="n">
        <v>201</v>
      </c>
      <c r="P574" s="17" t="s">
        <v>33</v>
      </c>
      <c r="Q574" s="20" t="n">
        <f aca="false">DATE(D574,C574,B574)</f>
        <v>44450</v>
      </c>
      <c r="R574" s="17" t="str">
        <f aca="false">IF(HOUR(E574)&lt;6,"Madrugada (0-5 h)",IF(HOUR(E574)&lt;12,"Mañana (6-11 h)",IF(HOUR(E574)&lt;18,"Tarde (12-17 h)","Noche (18-23 h)")))</f>
        <v>Tarde (12-17 h)</v>
      </c>
    </row>
    <row r="575" customFormat="false" ht="15" hidden="false" customHeight="false" outlineLevel="0" collapsed="false">
      <c r="A575" s="17" t="n">
        <v>1574</v>
      </c>
      <c r="B575" s="17" t="n">
        <v>24</v>
      </c>
      <c r="C575" s="17" t="n">
        <v>11</v>
      </c>
      <c r="D575" s="17" t="n">
        <v>2022</v>
      </c>
      <c r="E575" s="18" t="n">
        <v>0.755613425925926</v>
      </c>
      <c r="F575" s="17" t="n">
        <v>2387</v>
      </c>
      <c r="G575" s="17" t="s">
        <v>310</v>
      </c>
      <c r="H575" s="17" t="s">
        <v>311</v>
      </c>
      <c r="I575" s="17" t="s">
        <v>312</v>
      </c>
      <c r="J575" s="17" t="s">
        <v>313</v>
      </c>
      <c r="K575" s="17" t="n">
        <v>15</v>
      </c>
      <c r="L575" s="17" t="s">
        <v>31</v>
      </c>
      <c r="M575" s="17" t="s">
        <v>32</v>
      </c>
      <c r="N575" s="19" t="n">
        <v>1.55</v>
      </c>
      <c r="O575" s="19" t="n">
        <v>23.25</v>
      </c>
      <c r="P575" s="17" t="s">
        <v>33</v>
      </c>
      <c r="Q575" s="20" t="n">
        <f aca="false">DATE(D575,C575,B575)</f>
        <v>44889</v>
      </c>
      <c r="R575" s="17" t="str">
        <f aca="false">IF(HOUR(E575)&lt;6,"Madrugada (0-5 h)",IF(HOUR(E575)&lt;12,"Mañana (6-11 h)",IF(HOUR(E575)&lt;18,"Tarde (12-17 h)","Noche (18-23 h)")))</f>
        <v>Noche (18-23 h)</v>
      </c>
    </row>
    <row r="576" customFormat="false" ht="15" hidden="false" customHeight="false" outlineLevel="0" collapsed="false">
      <c r="A576" s="17" t="n">
        <v>1575</v>
      </c>
      <c r="B576" s="17" t="n">
        <v>18</v>
      </c>
      <c r="C576" s="17" t="n">
        <v>3</v>
      </c>
      <c r="D576" s="17" t="n">
        <v>2022</v>
      </c>
      <c r="E576" s="18" t="n">
        <v>0.0174074074074074</v>
      </c>
      <c r="F576" s="17" t="n">
        <v>4346</v>
      </c>
      <c r="G576" s="17" t="s">
        <v>314</v>
      </c>
      <c r="H576" s="17" t="s">
        <v>315</v>
      </c>
      <c r="I576" s="17" t="s">
        <v>316</v>
      </c>
      <c r="J576" s="17" t="s">
        <v>317</v>
      </c>
      <c r="K576" s="17" t="n">
        <v>23</v>
      </c>
      <c r="L576" s="17" t="s">
        <v>31</v>
      </c>
      <c r="M576" s="17" t="s">
        <v>32</v>
      </c>
      <c r="N576" s="19" t="n">
        <v>4.55</v>
      </c>
      <c r="O576" s="19" t="n">
        <v>104.65</v>
      </c>
      <c r="P576" s="17" t="s">
        <v>33</v>
      </c>
      <c r="Q576" s="20" t="n">
        <f aca="false">DATE(D576,C576,B576)</f>
        <v>44638</v>
      </c>
      <c r="R576" s="17" t="str">
        <f aca="false">IF(HOUR(E576)&lt;6,"Madrugada (0-5 h)",IF(HOUR(E576)&lt;12,"Mañana (6-11 h)",IF(HOUR(E576)&lt;18,"Tarde (12-17 h)","Noche (18-23 h)")))</f>
        <v>Madrugada (0-5 h)</v>
      </c>
    </row>
    <row r="577" customFormat="false" ht="15" hidden="false" customHeight="false" outlineLevel="0" collapsed="false">
      <c r="A577" s="17" t="n">
        <v>1576</v>
      </c>
      <c r="B577" s="17" t="n">
        <v>21</v>
      </c>
      <c r="C577" s="17" t="n">
        <v>3</v>
      </c>
      <c r="D577" s="17" t="n">
        <v>2021</v>
      </c>
      <c r="E577" s="18" t="n">
        <v>0.952256944444444</v>
      </c>
      <c r="F577" s="17" t="n">
        <v>2144</v>
      </c>
      <c r="G577" s="17" t="s">
        <v>318</v>
      </c>
      <c r="H577" s="17" t="s">
        <v>319</v>
      </c>
      <c r="I577" s="17" t="s">
        <v>320</v>
      </c>
      <c r="J577" s="17" t="s">
        <v>321</v>
      </c>
      <c r="K577" s="17" t="n">
        <v>39</v>
      </c>
      <c r="L577" s="17" t="s">
        <v>31</v>
      </c>
      <c r="M577" s="17" t="s">
        <v>82</v>
      </c>
      <c r="N577" s="19" t="n">
        <v>5.74</v>
      </c>
      <c r="O577" s="19" t="n">
        <v>223.86</v>
      </c>
      <c r="P577" s="17" t="s">
        <v>33</v>
      </c>
      <c r="Q577" s="20" t="n">
        <f aca="false">DATE(D577,C577,B577)</f>
        <v>44276</v>
      </c>
      <c r="R577" s="17" t="str">
        <f aca="false">IF(HOUR(E577)&lt;6,"Madrugada (0-5 h)",IF(HOUR(E577)&lt;12,"Mañana (6-11 h)",IF(HOUR(E577)&lt;18,"Tarde (12-17 h)","Noche (18-23 h)")))</f>
        <v>Noche (18-23 h)</v>
      </c>
    </row>
    <row r="578" customFormat="false" ht="15" hidden="false" customHeight="false" outlineLevel="0" collapsed="false">
      <c r="A578" s="17" t="n">
        <v>1577</v>
      </c>
      <c r="B578" s="17" t="n">
        <v>13</v>
      </c>
      <c r="C578" s="17" t="n">
        <v>3</v>
      </c>
      <c r="D578" s="17" t="n">
        <v>2022</v>
      </c>
      <c r="E578" s="18" t="n">
        <v>0.173993055555556</v>
      </c>
      <c r="F578" s="17" t="n">
        <v>3557</v>
      </c>
      <c r="G578" s="17" t="s">
        <v>322</v>
      </c>
      <c r="H578" s="17" t="s">
        <v>323</v>
      </c>
      <c r="I578" s="17" t="s">
        <v>324</v>
      </c>
      <c r="J578" s="17" t="s">
        <v>325</v>
      </c>
      <c r="K578" s="17" t="n">
        <v>21</v>
      </c>
      <c r="L578" s="17" t="s">
        <v>61</v>
      </c>
      <c r="M578" s="17" t="s">
        <v>76</v>
      </c>
      <c r="N578" s="19" t="n">
        <v>10.99</v>
      </c>
      <c r="O578" s="19" t="n">
        <v>230.79</v>
      </c>
      <c r="P578" s="17" t="s">
        <v>33</v>
      </c>
      <c r="Q578" s="20" t="n">
        <f aca="false">DATE(D578,C578,B578)</f>
        <v>44633</v>
      </c>
      <c r="R578" s="17" t="str">
        <f aca="false">IF(HOUR(E578)&lt;6,"Madrugada (0-5 h)",IF(HOUR(E578)&lt;12,"Mañana (6-11 h)",IF(HOUR(E578)&lt;18,"Tarde (12-17 h)","Noche (18-23 h)")))</f>
        <v>Madrugada (0-5 h)</v>
      </c>
    </row>
    <row r="579" customFormat="false" ht="15" hidden="false" customHeight="false" outlineLevel="0" collapsed="false">
      <c r="A579" s="17" t="n">
        <v>1578</v>
      </c>
      <c r="B579" s="17" t="n">
        <v>28</v>
      </c>
      <c r="C579" s="17" t="n">
        <v>11</v>
      </c>
      <c r="D579" s="17" t="n">
        <v>2022</v>
      </c>
      <c r="E579" s="18" t="n">
        <v>0.943020833333333</v>
      </c>
      <c r="F579" s="17" t="n">
        <v>3047</v>
      </c>
      <c r="G579" s="17" t="s">
        <v>188</v>
      </c>
      <c r="H579" s="17" t="s">
        <v>326</v>
      </c>
      <c r="I579" s="17" t="s">
        <v>190</v>
      </c>
      <c r="J579" s="17" t="s">
        <v>191</v>
      </c>
      <c r="K579" s="17" t="n">
        <v>49</v>
      </c>
      <c r="L579" s="17" t="s">
        <v>61</v>
      </c>
      <c r="M579" s="17" t="s">
        <v>76</v>
      </c>
      <c r="N579" s="19" t="n">
        <v>13.55</v>
      </c>
      <c r="O579" s="19" t="n">
        <v>663.95</v>
      </c>
      <c r="P579" s="17" t="s">
        <v>43</v>
      </c>
      <c r="Q579" s="20" t="n">
        <f aca="false">DATE(D579,C579,B579)</f>
        <v>44893</v>
      </c>
      <c r="R579" s="17" t="str">
        <f aca="false">IF(HOUR(E579)&lt;6,"Madrugada (0-5 h)",IF(HOUR(E579)&lt;12,"Mañana (6-11 h)",IF(HOUR(E579)&lt;18,"Tarde (12-17 h)","Noche (18-23 h)")))</f>
        <v>Noche (18-23 h)</v>
      </c>
    </row>
    <row r="580" customFormat="false" ht="15" hidden="false" customHeight="false" outlineLevel="0" collapsed="false">
      <c r="A580" s="17" t="n">
        <v>1579</v>
      </c>
      <c r="B580" s="17" t="n">
        <v>6</v>
      </c>
      <c r="C580" s="17" t="n">
        <v>2</v>
      </c>
      <c r="D580" s="17" t="n">
        <v>2021</v>
      </c>
      <c r="E580" s="18" t="n">
        <v>0.691041666666667</v>
      </c>
      <c r="F580" s="17" t="n">
        <v>3312</v>
      </c>
      <c r="G580" s="17" t="s">
        <v>327</v>
      </c>
      <c r="H580" s="17" t="s">
        <v>84</v>
      </c>
      <c r="I580" s="17" t="s">
        <v>222</v>
      </c>
      <c r="J580" s="17" t="s">
        <v>328</v>
      </c>
      <c r="K580" s="17" t="n">
        <v>2</v>
      </c>
      <c r="L580" s="17" t="s">
        <v>42</v>
      </c>
      <c r="M580" s="17" t="s">
        <v>32</v>
      </c>
      <c r="N580" s="19" t="n">
        <v>5.56</v>
      </c>
      <c r="O580" s="19" t="n">
        <v>11.12</v>
      </c>
      <c r="P580" s="17" t="s">
        <v>33</v>
      </c>
      <c r="Q580" s="20" t="n">
        <f aca="false">DATE(D580,C580,B580)</f>
        <v>44233</v>
      </c>
      <c r="R580" s="17" t="str">
        <f aca="false">IF(HOUR(E580)&lt;6,"Madrugada (0-5 h)",IF(HOUR(E580)&lt;12,"Mañana (6-11 h)",IF(HOUR(E580)&lt;18,"Tarde (12-17 h)","Noche (18-23 h)")))</f>
        <v>Tarde (12-17 h)</v>
      </c>
    </row>
    <row r="581" customFormat="false" ht="15" hidden="false" customHeight="false" outlineLevel="0" collapsed="false">
      <c r="A581" s="17" t="n">
        <v>1580</v>
      </c>
      <c r="B581" s="17" t="n">
        <v>19</v>
      </c>
      <c r="C581" s="17" t="n">
        <v>6</v>
      </c>
      <c r="D581" s="17" t="n">
        <v>2022</v>
      </c>
      <c r="E581" s="18" t="n">
        <v>0.896099537037037</v>
      </c>
      <c r="F581" s="17" t="n">
        <v>2514</v>
      </c>
      <c r="G581" s="17" t="s">
        <v>329</v>
      </c>
      <c r="H581" s="17" t="s">
        <v>330</v>
      </c>
      <c r="I581" s="17" t="s">
        <v>331</v>
      </c>
      <c r="J581" s="17" t="s">
        <v>332</v>
      </c>
      <c r="K581" s="17" t="n">
        <v>18</v>
      </c>
      <c r="L581" s="17" t="s">
        <v>81</v>
      </c>
      <c r="M581" s="17" t="s">
        <v>333</v>
      </c>
      <c r="N581" s="19" t="n">
        <v>3.32</v>
      </c>
      <c r="O581" s="19" t="n">
        <v>59.76</v>
      </c>
      <c r="P581" s="17" t="s">
        <v>43</v>
      </c>
      <c r="Q581" s="20" t="n">
        <f aca="false">DATE(D581,C581,B581)</f>
        <v>44731</v>
      </c>
      <c r="R581" s="17" t="str">
        <f aca="false">IF(HOUR(E581)&lt;6,"Madrugada (0-5 h)",IF(HOUR(E581)&lt;12,"Mañana (6-11 h)",IF(HOUR(E581)&lt;18,"Tarde (12-17 h)","Noche (18-23 h)")))</f>
        <v>Noche (18-23 h)</v>
      </c>
    </row>
    <row r="582" customFormat="false" ht="15" hidden="false" customHeight="false" outlineLevel="0" collapsed="false">
      <c r="A582" s="17" t="n">
        <v>1581</v>
      </c>
      <c r="B582" s="17" t="n">
        <v>15</v>
      </c>
      <c r="C582" s="17" t="n">
        <v>1</v>
      </c>
      <c r="D582" s="17" t="n">
        <v>2022</v>
      </c>
      <c r="E582" s="18" t="n">
        <v>0.978148148148148</v>
      </c>
      <c r="F582" s="17" t="n">
        <v>2120</v>
      </c>
      <c r="G582" s="17" t="s">
        <v>334</v>
      </c>
      <c r="H582" s="17" t="s">
        <v>88</v>
      </c>
      <c r="I582" s="17" t="s">
        <v>335</v>
      </c>
      <c r="J582" s="17" t="s">
        <v>336</v>
      </c>
      <c r="K582" s="17" t="n">
        <v>2</v>
      </c>
      <c r="L582" s="17" t="s">
        <v>81</v>
      </c>
      <c r="M582" s="17" t="s">
        <v>333</v>
      </c>
      <c r="N582" s="19" t="n">
        <v>54</v>
      </c>
      <c r="O582" s="19" t="n">
        <v>108</v>
      </c>
      <c r="P582" s="17" t="s">
        <v>33</v>
      </c>
      <c r="Q582" s="20" t="n">
        <f aca="false">DATE(D582,C582,B582)</f>
        <v>44576</v>
      </c>
      <c r="R582" s="17" t="str">
        <f aca="false">IF(HOUR(E582)&lt;6,"Madrugada (0-5 h)",IF(HOUR(E582)&lt;12,"Mañana (6-11 h)",IF(HOUR(E582)&lt;18,"Tarde (12-17 h)","Noche (18-23 h)")))</f>
        <v>Noche (18-23 h)</v>
      </c>
    </row>
    <row r="583" customFormat="false" ht="15" hidden="false" customHeight="false" outlineLevel="0" collapsed="false">
      <c r="A583" s="17" t="n">
        <v>1582</v>
      </c>
      <c r="B583" s="17" t="n">
        <v>26</v>
      </c>
      <c r="C583" s="17" t="n">
        <v>10</v>
      </c>
      <c r="D583" s="17" t="n">
        <v>2022</v>
      </c>
      <c r="E583" s="18" t="n">
        <v>0.617256944444445</v>
      </c>
      <c r="F583" s="17" t="n">
        <v>4142</v>
      </c>
      <c r="G583" s="17" t="s">
        <v>337</v>
      </c>
      <c r="H583" s="17" t="s">
        <v>338</v>
      </c>
      <c r="I583" s="17" t="s">
        <v>339</v>
      </c>
      <c r="J583" s="17" t="s">
        <v>340</v>
      </c>
      <c r="K583" s="17" t="n">
        <v>21</v>
      </c>
      <c r="L583" s="17" t="s">
        <v>81</v>
      </c>
      <c r="M583" s="17" t="s">
        <v>333</v>
      </c>
      <c r="N583" s="19" t="n">
        <v>13.42</v>
      </c>
      <c r="O583" s="19" t="n">
        <v>281.82</v>
      </c>
      <c r="P583" s="17" t="s">
        <v>33</v>
      </c>
      <c r="Q583" s="20" t="n">
        <f aca="false">DATE(D583,C583,B583)</f>
        <v>44860</v>
      </c>
      <c r="R583" s="17" t="str">
        <f aca="false">IF(HOUR(E583)&lt;6,"Madrugada (0-5 h)",IF(HOUR(E583)&lt;12,"Mañana (6-11 h)",IF(HOUR(E583)&lt;18,"Tarde (12-17 h)","Noche (18-23 h)")))</f>
        <v>Tarde (12-17 h)</v>
      </c>
    </row>
    <row r="584" customFormat="false" ht="15" hidden="false" customHeight="false" outlineLevel="0" collapsed="false">
      <c r="A584" s="17" t="n">
        <v>1583</v>
      </c>
      <c r="B584" s="17" t="n">
        <v>4</v>
      </c>
      <c r="C584" s="17" t="n">
        <v>3</v>
      </c>
      <c r="D584" s="17" t="n">
        <v>2022</v>
      </c>
      <c r="E584" s="18" t="n">
        <v>0.085775462962963</v>
      </c>
      <c r="F584" s="17" t="n">
        <v>3636</v>
      </c>
      <c r="G584" s="17" t="s">
        <v>341</v>
      </c>
      <c r="H584" s="17" t="s">
        <v>342</v>
      </c>
      <c r="I584" s="17" t="s">
        <v>343</v>
      </c>
      <c r="J584" s="17" t="s">
        <v>344</v>
      </c>
      <c r="K584" s="17" t="n">
        <v>14</v>
      </c>
      <c r="L584" s="17" t="s">
        <v>81</v>
      </c>
      <c r="M584" s="17" t="s">
        <v>333</v>
      </c>
      <c r="N584" s="19" t="n">
        <v>45.04</v>
      </c>
      <c r="O584" s="19" t="n">
        <v>630.56</v>
      </c>
      <c r="P584" s="17" t="s">
        <v>33</v>
      </c>
      <c r="Q584" s="20" t="n">
        <f aca="false">DATE(D584,C584,B584)</f>
        <v>44624</v>
      </c>
      <c r="R584" s="17" t="str">
        <f aca="false">IF(HOUR(E584)&lt;6,"Madrugada (0-5 h)",IF(HOUR(E584)&lt;12,"Mañana (6-11 h)",IF(HOUR(E584)&lt;18,"Tarde (12-17 h)","Noche (18-23 h)")))</f>
        <v>Madrugada (0-5 h)</v>
      </c>
    </row>
    <row r="585" customFormat="false" ht="15" hidden="false" customHeight="false" outlineLevel="0" collapsed="false">
      <c r="A585" s="17" t="n">
        <v>1584</v>
      </c>
      <c r="B585" s="17" t="n">
        <v>4</v>
      </c>
      <c r="C585" s="17" t="n">
        <v>7</v>
      </c>
      <c r="D585" s="17" t="n">
        <v>2022</v>
      </c>
      <c r="E585" s="18" t="n">
        <v>0.804594907407407</v>
      </c>
      <c r="F585" s="17" t="n">
        <v>1925</v>
      </c>
      <c r="G585" s="17" t="s">
        <v>345</v>
      </c>
      <c r="H585" s="17" t="s">
        <v>346</v>
      </c>
      <c r="I585" s="17" t="s">
        <v>347</v>
      </c>
      <c r="J585" s="17" t="s">
        <v>348</v>
      </c>
      <c r="K585" s="17" t="n">
        <v>17</v>
      </c>
      <c r="L585" s="17" t="s">
        <v>81</v>
      </c>
      <c r="M585" s="17" t="s">
        <v>32</v>
      </c>
      <c r="N585" s="19" t="n">
        <v>20.05</v>
      </c>
      <c r="O585" s="19" t="n">
        <v>340.85</v>
      </c>
      <c r="P585" s="17" t="s">
        <v>33</v>
      </c>
      <c r="Q585" s="20" t="n">
        <f aca="false">DATE(D585,C585,B585)</f>
        <v>44746</v>
      </c>
      <c r="R585" s="17" t="str">
        <f aca="false">IF(HOUR(E585)&lt;6,"Madrugada (0-5 h)",IF(HOUR(E585)&lt;12,"Mañana (6-11 h)",IF(HOUR(E585)&lt;18,"Tarde (12-17 h)","Noche (18-23 h)")))</f>
        <v>Noche (18-23 h)</v>
      </c>
    </row>
    <row r="586" customFormat="false" ht="15" hidden="false" customHeight="false" outlineLevel="0" collapsed="false">
      <c r="A586" s="17" t="n">
        <v>1585</v>
      </c>
      <c r="B586" s="17" t="n">
        <v>7</v>
      </c>
      <c r="C586" s="17" t="n">
        <v>5</v>
      </c>
      <c r="D586" s="17" t="n">
        <v>2022</v>
      </c>
      <c r="E586" s="18" t="n">
        <v>0.0976736111111111</v>
      </c>
      <c r="F586" s="17" t="n">
        <v>3544</v>
      </c>
      <c r="G586" s="17" t="s">
        <v>349</v>
      </c>
      <c r="H586" s="17" t="s">
        <v>350</v>
      </c>
      <c r="I586" s="17" t="s">
        <v>351</v>
      </c>
      <c r="J586" s="17" t="s">
        <v>352</v>
      </c>
      <c r="K586" s="17" t="n">
        <v>29</v>
      </c>
      <c r="L586" s="17" t="s">
        <v>81</v>
      </c>
      <c r="M586" s="17" t="s">
        <v>32</v>
      </c>
      <c r="N586" s="19" t="n">
        <v>7.98</v>
      </c>
      <c r="O586" s="19" t="n">
        <v>231.42</v>
      </c>
      <c r="P586" s="17" t="s">
        <v>43</v>
      </c>
      <c r="Q586" s="20" t="n">
        <f aca="false">DATE(D586,C586,B586)</f>
        <v>44688</v>
      </c>
      <c r="R586" s="17" t="str">
        <f aca="false">IF(HOUR(E586)&lt;6,"Madrugada (0-5 h)",IF(HOUR(E586)&lt;12,"Mañana (6-11 h)",IF(HOUR(E586)&lt;18,"Tarde (12-17 h)","Noche (18-23 h)")))</f>
        <v>Madrugada (0-5 h)</v>
      </c>
    </row>
    <row r="587" customFormat="false" ht="15" hidden="false" customHeight="false" outlineLevel="0" collapsed="false">
      <c r="A587" s="17" t="n">
        <v>1586</v>
      </c>
      <c r="B587" s="17" t="n">
        <v>28</v>
      </c>
      <c r="C587" s="17" t="n">
        <v>4</v>
      </c>
      <c r="D587" s="17" t="n">
        <v>2022</v>
      </c>
      <c r="E587" s="18" t="n">
        <v>0.0925231481481482</v>
      </c>
      <c r="F587" s="17" t="n">
        <v>3200</v>
      </c>
      <c r="G587" s="17" t="s">
        <v>353</v>
      </c>
      <c r="H587" s="17" t="s">
        <v>354</v>
      </c>
      <c r="I587" s="17" t="s">
        <v>355</v>
      </c>
      <c r="J587" s="17" t="s">
        <v>356</v>
      </c>
      <c r="K587" s="17" t="n">
        <v>24</v>
      </c>
      <c r="L587" s="17" t="s">
        <v>125</v>
      </c>
      <c r="M587" s="17" t="s">
        <v>82</v>
      </c>
      <c r="N587" s="19" t="n">
        <v>24.43</v>
      </c>
      <c r="O587" s="19" t="n">
        <v>586.32</v>
      </c>
      <c r="P587" s="17" t="s">
        <v>33</v>
      </c>
      <c r="Q587" s="20" t="n">
        <f aca="false">DATE(D587,C587,B587)</f>
        <v>44679</v>
      </c>
      <c r="R587" s="17" t="str">
        <f aca="false">IF(HOUR(E587)&lt;6,"Madrugada (0-5 h)",IF(HOUR(E587)&lt;12,"Mañana (6-11 h)",IF(HOUR(E587)&lt;18,"Tarde (12-17 h)","Noche (18-23 h)")))</f>
        <v>Madrugada (0-5 h)</v>
      </c>
    </row>
    <row r="588" customFormat="false" ht="15" hidden="false" customHeight="false" outlineLevel="0" collapsed="false">
      <c r="A588" s="17" t="n">
        <v>1587</v>
      </c>
      <c r="B588" s="17" t="n">
        <v>9</v>
      </c>
      <c r="C588" s="17" t="n">
        <v>4</v>
      </c>
      <c r="D588" s="17" t="n">
        <v>2021</v>
      </c>
      <c r="E588" s="18" t="n">
        <v>0.837534722222222</v>
      </c>
      <c r="F588" s="17" t="n">
        <v>4383</v>
      </c>
      <c r="G588" s="17" t="s">
        <v>357</v>
      </c>
      <c r="H588" s="17" t="s">
        <v>358</v>
      </c>
      <c r="I588" s="17" t="s">
        <v>359</v>
      </c>
      <c r="J588" s="17" t="s">
        <v>360</v>
      </c>
      <c r="K588" s="17" t="n">
        <v>24</v>
      </c>
      <c r="L588" s="17" t="s">
        <v>81</v>
      </c>
      <c r="M588" s="17" t="s">
        <v>76</v>
      </c>
      <c r="N588" s="19" t="n">
        <v>6.3</v>
      </c>
      <c r="O588" s="19" t="n">
        <v>151.2</v>
      </c>
      <c r="P588" s="17" t="s">
        <v>33</v>
      </c>
      <c r="Q588" s="20" t="n">
        <f aca="false">DATE(D588,C588,B588)</f>
        <v>44295</v>
      </c>
      <c r="R588" s="17" t="str">
        <f aca="false">IF(HOUR(E588)&lt;6,"Madrugada (0-5 h)",IF(HOUR(E588)&lt;12,"Mañana (6-11 h)",IF(HOUR(E588)&lt;18,"Tarde (12-17 h)","Noche (18-23 h)")))</f>
        <v>Noche (18-23 h)</v>
      </c>
    </row>
    <row r="589" customFormat="false" ht="15" hidden="false" customHeight="false" outlineLevel="0" collapsed="false">
      <c r="A589" s="17" t="n">
        <v>1588</v>
      </c>
      <c r="B589" s="17" t="n">
        <v>19</v>
      </c>
      <c r="C589" s="17" t="n">
        <v>4</v>
      </c>
      <c r="D589" s="17" t="n">
        <v>2021</v>
      </c>
      <c r="E589" s="18" t="n">
        <v>0.121469907407407</v>
      </c>
      <c r="F589" s="17" t="n">
        <v>4063</v>
      </c>
      <c r="G589" s="17" t="s">
        <v>361</v>
      </c>
      <c r="H589" s="17" t="s">
        <v>454</v>
      </c>
      <c r="I589" s="17" t="s">
        <v>363</v>
      </c>
      <c r="J589" s="17" t="s">
        <v>364</v>
      </c>
      <c r="K589" s="17" t="n">
        <v>49</v>
      </c>
      <c r="L589" s="17" t="s">
        <v>81</v>
      </c>
      <c r="M589" s="17" t="s">
        <v>76</v>
      </c>
      <c r="N589" s="19" t="n">
        <v>1.89</v>
      </c>
      <c r="O589" s="19" t="n">
        <v>92.61</v>
      </c>
      <c r="P589" s="17" t="s">
        <v>33</v>
      </c>
      <c r="Q589" s="20" t="n">
        <f aca="false">DATE(D589,C589,B589)</f>
        <v>44305</v>
      </c>
      <c r="R589" s="17" t="str">
        <f aca="false">IF(HOUR(E589)&lt;6,"Madrugada (0-5 h)",IF(HOUR(E589)&lt;12,"Mañana (6-11 h)",IF(HOUR(E589)&lt;18,"Tarde (12-17 h)","Noche (18-23 h)")))</f>
        <v>Madrugada (0-5 h)</v>
      </c>
    </row>
    <row r="590" customFormat="false" ht="15" hidden="false" customHeight="false" outlineLevel="0" collapsed="false">
      <c r="A590" s="17" t="n">
        <v>1589</v>
      </c>
      <c r="B590" s="17" t="n">
        <v>27</v>
      </c>
      <c r="C590" s="17" t="n">
        <v>12</v>
      </c>
      <c r="D590" s="17" t="n">
        <v>2021</v>
      </c>
      <c r="E590" s="18" t="n">
        <v>0.979166666666667</v>
      </c>
      <c r="F590" s="17" t="n">
        <v>4228</v>
      </c>
      <c r="G590" s="17" t="s">
        <v>365</v>
      </c>
      <c r="H590" s="17" t="s">
        <v>366</v>
      </c>
      <c r="I590" s="17" t="s">
        <v>367</v>
      </c>
      <c r="J590" s="17" t="s">
        <v>368</v>
      </c>
      <c r="K590" s="17" t="n">
        <v>21</v>
      </c>
      <c r="L590" s="17" t="s">
        <v>81</v>
      </c>
      <c r="M590" s="17" t="s">
        <v>32</v>
      </c>
      <c r="N590" s="19" t="n">
        <v>2.3</v>
      </c>
      <c r="O590" s="19" t="n">
        <v>48.3</v>
      </c>
      <c r="P590" s="17" t="s">
        <v>33</v>
      </c>
      <c r="Q590" s="20" t="n">
        <f aca="false">DATE(D590,C590,B590)</f>
        <v>44557</v>
      </c>
      <c r="R590" s="17" t="str">
        <f aca="false">IF(HOUR(E590)&lt;6,"Madrugada (0-5 h)",IF(HOUR(E590)&lt;12,"Mañana (6-11 h)",IF(HOUR(E590)&lt;18,"Tarde (12-17 h)","Noche (18-23 h)")))</f>
        <v>Noche (18-23 h)</v>
      </c>
    </row>
    <row r="591" customFormat="false" ht="15" hidden="false" customHeight="false" outlineLevel="0" collapsed="false">
      <c r="A591" s="17" t="n">
        <v>1590</v>
      </c>
      <c r="B591" s="17" t="n">
        <v>22</v>
      </c>
      <c r="C591" s="17" t="n">
        <v>1</v>
      </c>
      <c r="D591" s="17" t="n">
        <v>2021</v>
      </c>
      <c r="E591" s="18" t="n">
        <v>0.781990740740741</v>
      </c>
      <c r="F591" s="17" t="n">
        <v>1244</v>
      </c>
      <c r="G591" s="17" t="s">
        <v>369</v>
      </c>
      <c r="H591" s="17" t="s">
        <v>370</v>
      </c>
      <c r="I591" s="17" t="s">
        <v>371</v>
      </c>
      <c r="J591" s="17" t="s">
        <v>372</v>
      </c>
      <c r="K591" s="17" t="n">
        <v>44</v>
      </c>
      <c r="L591" s="17" t="s">
        <v>81</v>
      </c>
      <c r="M591" s="17" t="s">
        <v>32</v>
      </c>
      <c r="N591" s="19" t="n">
        <v>6.76</v>
      </c>
      <c r="O591" s="19" t="n">
        <v>297.44</v>
      </c>
      <c r="P591" s="17" t="s">
        <v>33</v>
      </c>
      <c r="Q591" s="20" t="n">
        <f aca="false">DATE(D591,C591,B591)</f>
        <v>44218</v>
      </c>
      <c r="R591" s="17" t="str">
        <f aca="false">IF(HOUR(E591)&lt;6,"Madrugada (0-5 h)",IF(HOUR(E591)&lt;12,"Mañana (6-11 h)",IF(HOUR(E591)&lt;18,"Tarde (12-17 h)","Noche (18-23 h)")))</f>
        <v>Noche (18-23 h)</v>
      </c>
    </row>
    <row r="592" customFormat="false" ht="15" hidden="false" customHeight="false" outlineLevel="0" collapsed="false">
      <c r="A592" s="17" t="n">
        <v>1591</v>
      </c>
      <c r="B592" s="17" t="n">
        <v>25</v>
      </c>
      <c r="C592" s="17" t="n">
        <v>11</v>
      </c>
      <c r="D592" s="17" t="n">
        <v>2021</v>
      </c>
      <c r="E592" s="18" t="n">
        <v>0.417488425925926</v>
      </c>
      <c r="F592" s="17" t="n">
        <v>2830</v>
      </c>
      <c r="G592" s="17" t="s">
        <v>373</v>
      </c>
      <c r="H592" s="17" t="s">
        <v>374</v>
      </c>
      <c r="I592" s="17" t="s">
        <v>375</v>
      </c>
      <c r="J592" s="17" t="s">
        <v>376</v>
      </c>
      <c r="K592" s="17" t="n">
        <v>24</v>
      </c>
      <c r="L592" s="17" t="s">
        <v>81</v>
      </c>
      <c r="M592" s="17" t="s">
        <v>32</v>
      </c>
      <c r="N592" s="19" t="n">
        <v>7.3</v>
      </c>
      <c r="O592" s="19" t="n">
        <v>175.2</v>
      </c>
      <c r="P592" s="17" t="s">
        <v>43</v>
      </c>
      <c r="Q592" s="20" t="n">
        <f aca="false">DATE(D592,C592,B592)</f>
        <v>44525</v>
      </c>
      <c r="R592" s="17" t="str">
        <f aca="false">IF(HOUR(E592)&lt;6,"Madrugada (0-5 h)",IF(HOUR(E592)&lt;12,"Mañana (6-11 h)",IF(HOUR(E592)&lt;18,"Tarde (12-17 h)","Noche (18-23 h)")))</f>
        <v>Mañana (6-11 h)</v>
      </c>
    </row>
    <row r="593" customFormat="false" ht="15" hidden="false" customHeight="false" outlineLevel="0" collapsed="false">
      <c r="A593" s="17" t="n">
        <v>1592</v>
      </c>
      <c r="B593" s="17" t="n">
        <v>6</v>
      </c>
      <c r="C593" s="17" t="n">
        <v>12</v>
      </c>
      <c r="D593" s="17" t="n">
        <v>2021</v>
      </c>
      <c r="E593" s="18" t="n">
        <v>0.394259259259259</v>
      </c>
      <c r="F593" s="17" t="n">
        <v>3824</v>
      </c>
      <c r="G593" s="17" t="s">
        <v>377</v>
      </c>
      <c r="H593" s="17" t="s">
        <v>137</v>
      </c>
      <c r="I593" s="17" t="s">
        <v>455</v>
      </c>
      <c r="J593" s="17" t="s">
        <v>379</v>
      </c>
      <c r="K593" s="17" t="n">
        <v>34</v>
      </c>
      <c r="L593" s="17" t="s">
        <v>81</v>
      </c>
      <c r="M593" s="17" t="s">
        <v>32</v>
      </c>
      <c r="N593" s="19" t="n">
        <v>6.3</v>
      </c>
      <c r="O593" s="19" t="n">
        <v>214.2</v>
      </c>
      <c r="P593" s="17" t="s">
        <v>33</v>
      </c>
      <c r="Q593" s="20" t="n">
        <f aca="false">DATE(D593,C593,B593)</f>
        <v>44536</v>
      </c>
      <c r="R593" s="17" t="str">
        <f aca="false">IF(HOUR(E593)&lt;6,"Madrugada (0-5 h)",IF(HOUR(E593)&lt;12,"Mañana (6-11 h)",IF(HOUR(E593)&lt;18,"Tarde (12-17 h)","Noche (18-23 h)")))</f>
        <v>Mañana (6-11 h)</v>
      </c>
    </row>
    <row r="594" customFormat="false" ht="15" hidden="false" customHeight="false" outlineLevel="0" collapsed="false">
      <c r="A594" s="17" t="n">
        <v>1593</v>
      </c>
      <c r="B594" s="17" t="n">
        <v>3</v>
      </c>
      <c r="C594" s="17" t="n">
        <v>5</v>
      </c>
      <c r="D594" s="17" t="n">
        <v>2021</v>
      </c>
      <c r="E594" s="18" t="n">
        <v>0.767175925925926</v>
      </c>
      <c r="F594" s="17" t="n">
        <v>1155</v>
      </c>
      <c r="G594" s="17" t="s">
        <v>380</v>
      </c>
      <c r="H594" s="17" t="s">
        <v>333</v>
      </c>
      <c r="I594" s="17" t="s">
        <v>381</v>
      </c>
      <c r="J594" s="17" t="s">
        <v>382</v>
      </c>
      <c r="K594" s="17" t="n">
        <v>46</v>
      </c>
      <c r="L594" s="17" t="s">
        <v>81</v>
      </c>
      <c r="M594" s="17" t="s">
        <v>76</v>
      </c>
      <c r="N594" s="19" t="n">
        <v>5.23</v>
      </c>
      <c r="O594" s="19" t="n">
        <v>240.58</v>
      </c>
      <c r="P594" s="17" t="s">
        <v>33</v>
      </c>
      <c r="Q594" s="20" t="n">
        <f aca="false">DATE(D594,C594,B594)</f>
        <v>44319</v>
      </c>
      <c r="R594" s="17" t="str">
        <f aca="false">IF(HOUR(E594)&lt;6,"Madrugada (0-5 h)",IF(HOUR(E594)&lt;12,"Mañana (6-11 h)",IF(HOUR(E594)&lt;18,"Tarde (12-17 h)","Noche (18-23 h)")))</f>
        <v>Noche (18-23 h)</v>
      </c>
    </row>
    <row r="595" customFormat="false" ht="15" hidden="false" customHeight="false" outlineLevel="0" collapsed="false">
      <c r="A595" s="17" t="n">
        <v>1594</v>
      </c>
      <c r="B595" s="17" t="n">
        <v>16</v>
      </c>
      <c r="C595" s="17" t="n">
        <v>8</v>
      </c>
      <c r="D595" s="17" t="n">
        <v>2022</v>
      </c>
      <c r="E595" s="18" t="n">
        <v>0.732962962962963</v>
      </c>
      <c r="F595" s="17" t="n">
        <v>3263</v>
      </c>
      <c r="G595" s="17" t="s">
        <v>383</v>
      </c>
      <c r="H595" s="17" t="s">
        <v>384</v>
      </c>
      <c r="I595" s="17" t="s">
        <v>385</v>
      </c>
      <c r="J595" s="17" t="s">
        <v>386</v>
      </c>
      <c r="K595" s="17" t="n">
        <v>15</v>
      </c>
      <c r="L595" s="17" t="s">
        <v>31</v>
      </c>
      <c r="M595" s="17" t="s">
        <v>32</v>
      </c>
      <c r="N595" s="19" t="n">
        <v>2.01</v>
      </c>
      <c r="O595" s="19" t="n">
        <v>30.15</v>
      </c>
      <c r="P595" s="17" t="s">
        <v>33</v>
      </c>
      <c r="Q595" s="20" t="n">
        <f aca="false">DATE(D595,C595,B595)</f>
        <v>44789</v>
      </c>
      <c r="R595" s="17" t="str">
        <f aca="false">IF(HOUR(E595)&lt;6,"Madrugada (0-5 h)",IF(HOUR(E595)&lt;12,"Mañana (6-11 h)",IF(HOUR(E595)&lt;18,"Tarde (12-17 h)","Noche (18-23 h)")))</f>
        <v>Tarde (12-17 h)</v>
      </c>
    </row>
    <row r="596" customFormat="false" ht="15" hidden="false" customHeight="false" outlineLevel="0" collapsed="false">
      <c r="A596" s="17" t="n">
        <v>1595</v>
      </c>
      <c r="B596" s="17" t="n">
        <v>14</v>
      </c>
      <c r="C596" s="17" t="n">
        <v>4</v>
      </c>
      <c r="D596" s="17" t="n">
        <v>2021</v>
      </c>
      <c r="E596" s="18" t="n">
        <v>0.713206018518519</v>
      </c>
      <c r="F596" s="17" t="n">
        <v>4257</v>
      </c>
      <c r="G596" s="17" t="s">
        <v>387</v>
      </c>
      <c r="H596" s="17" t="s">
        <v>456</v>
      </c>
      <c r="I596" s="17" t="s">
        <v>389</v>
      </c>
      <c r="J596" s="17" t="s">
        <v>390</v>
      </c>
      <c r="K596" s="17" t="n">
        <v>2</v>
      </c>
      <c r="L596" s="17" t="s">
        <v>61</v>
      </c>
      <c r="M596" s="17" t="s">
        <v>32</v>
      </c>
      <c r="N596" s="19" t="n">
        <v>14.37</v>
      </c>
      <c r="O596" s="19" t="n">
        <v>28.74</v>
      </c>
      <c r="P596" s="17" t="s">
        <v>33</v>
      </c>
      <c r="Q596" s="20" t="n">
        <f aca="false">DATE(D596,C596,B596)</f>
        <v>44300</v>
      </c>
      <c r="R596" s="17" t="str">
        <f aca="false">IF(HOUR(E596)&lt;6,"Madrugada (0-5 h)",IF(HOUR(E596)&lt;12,"Mañana (6-11 h)",IF(HOUR(E596)&lt;18,"Tarde (12-17 h)","Noche (18-23 h)")))</f>
        <v>Tarde (12-17 h)</v>
      </c>
    </row>
    <row r="597" customFormat="false" ht="15" hidden="false" customHeight="false" outlineLevel="0" collapsed="false">
      <c r="A597" s="17" t="n">
        <v>1596</v>
      </c>
      <c r="B597" s="17" t="n">
        <v>26</v>
      </c>
      <c r="C597" s="17" t="n">
        <v>1</v>
      </c>
      <c r="D597" s="17" t="n">
        <v>2021</v>
      </c>
      <c r="E597" s="18" t="n">
        <v>0.586944444444445</v>
      </c>
      <c r="F597" s="17" t="n">
        <v>2851</v>
      </c>
      <c r="G597" s="17" t="s">
        <v>391</v>
      </c>
      <c r="H597" s="17" t="s">
        <v>392</v>
      </c>
      <c r="I597" s="17" t="s">
        <v>393</v>
      </c>
      <c r="J597" s="17" t="s">
        <v>394</v>
      </c>
      <c r="K597" s="17" t="n">
        <v>8</v>
      </c>
      <c r="L597" s="17" t="s">
        <v>61</v>
      </c>
      <c r="M597" s="17" t="s">
        <v>32</v>
      </c>
      <c r="N597" s="19" t="n">
        <v>2.03</v>
      </c>
      <c r="O597" s="19" t="n">
        <v>16.24</v>
      </c>
      <c r="P597" s="17" t="s">
        <v>33</v>
      </c>
      <c r="Q597" s="20" t="n">
        <f aca="false">DATE(D597,C597,B597)</f>
        <v>44222</v>
      </c>
      <c r="R597" s="17" t="str">
        <f aca="false">IF(HOUR(E597)&lt;6,"Madrugada (0-5 h)",IF(HOUR(E597)&lt;12,"Mañana (6-11 h)",IF(HOUR(E597)&lt;18,"Tarde (12-17 h)","Noche (18-23 h)")))</f>
        <v>Tarde (12-17 h)</v>
      </c>
    </row>
    <row r="598" customFormat="false" ht="15" hidden="false" customHeight="false" outlineLevel="0" collapsed="false">
      <c r="A598" s="17" t="n">
        <v>1597</v>
      </c>
      <c r="B598" s="17" t="n">
        <v>14</v>
      </c>
      <c r="C598" s="17" t="n">
        <v>8</v>
      </c>
      <c r="D598" s="17" t="n">
        <v>2021</v>
      </c>
      <c r="E598" s="18" t="n">
        <v>0.211655092592593</v>
      </c>
      <c r="F598" s="17" t="n">
        <v>3395</v>
      </c>
      <c r="G598" s="17" t="s">
        <v>395</v>
      </c>
      <c r="H598" s="17" t="s">
        <v>396</v>
      </c>
      <c r="I598" s="17" t="s">
        <v>397</v>
      </c>
      <c r="J598" s="17" t="s">
        <v>398</v>
      </c>
      <c r="K598" s="17" t="n">
        <v>4</v>
      </c>
      <c r="L598" s="17" t="s">
        <v>61</v>
      </c>
      <c r="M598" s="17" t="s">
        <v>32</v>
      </c>
      <c r="N598" s="19" t="n">
        <v>16.45</v>
      </c>
      <c r="O598" s="19" t="n">
        <v>65.8</v>
      </c>
      <c r="P598" s="17" t="s">
        <v>33</v>
      </c>
      <c r="Q598" s="20" t="n">
        <f aca="false">DATE(D598,C598,B598)</f>
        <v>44422</v>
      </c>
      <c r="R598" s="17" t="str">
        <f aca="false">IF(HOUR(E598)&lt;6,"Madrugada (0-5 h)",IF(HOUR(E598)&lt;12,"Mañana (6-11 h)",IF(HOUR(E598)&lt;18,"Tarde (12-17 h)","Noche (18-23 h)")))</f>
        <v>Madrugada (0-5 h)</v>
      </c>
    </row>
    <row r="599" customFormat="false" ht="15" hidden="false" customHeight="false" outlineLevel="0" collapsed="false">
      <c r="A599" s="17" t="n">
        <v>1598</v>
      </c>
      <c r="B599" s="17" t="n">
        <v>25</v>
      </c>
      <c r="C599" s="17" t="n">
        <v>12</v>
      </c>
      <c r="D599" s="17" t="n">
        <v>2022</v>
      </c>
      <c r="E599" s="18" t="n">
        <v>0.377881944444445</v>
      </c>
      <c r="F599" s="17" t="n">
        <v>3583</v>
      </c>
      <c r="G599" s="17" t="s">
        <v>399</v>
      </c>
      <c r="H599" s="17" t="s">
        <v>400</v>
      </c>
      <c r="I599" s="17" t="s">
        <v>401</v>
      </c>
      <c r="J599" s="17" t="s">
        <v>402</v>
      </c>
      <c r="K599" s="17" t="n">
        <v>42</v>
      </c>
      <c r="L599" s="17" t="s">
        <v>98</v>
      </c>
      <c r="M599" s="17" t="s">
        <v>32</v>
      </c>
      <c r="N599" s="19" t="n">
        <v>15.52</v>
      </c>
      <c r="O599" s="19" t="n">
        <v>651.84</v>
      </c>
      <c r="P599" s="17" t="s">
        <v>43</v>
      </c>
      <c r="Q599" s="20" t="n">
        <f aca="false">DATE(D599,C599,B599)</f>
        <v>44920</v>
      </c>
      <c r="R599" s="17" t="str">
        <f aca="false">IF(HOUR(E599)&lt;6,"Madrugada (0-5 h)",IF(HOUR(E599)&lt;12,"Mañana (6-11 h)",IF(HOUR(E599)&lt;18,"Tarde (12-17 h)","Noche (18-23 h)")))</f>
        <v>Mañana (6-11 h)</v>
      </c>
    </row>
    <row r="600" customFormat="false" ht="15" hidden="false" customHeight="false" outlineLevel="0" collapsed="false">
      <c r="A600" s="17" t="n">
        <v>1599</v>
      </c>
      <c r="B600" s="17" t="n">
        <v>5</v>
      </c>
      <c r="C600" s="17" t="n">
        <v>5</v>
      </c>
      <c r="D600" s="17" t="n">
        <v>2022</v>
      </c>
      <c r="E600" s="18" t="n">
        <v>0.732615740740741</v>
      </c>
      <c r="F600" s="17" t="n">
        <v>4014</v>
      </c>
      <c r="G600" s="17" t="s">
        <v>403</v>
      </c>
      <c r="H600" s="17" t="s">
        <v>404</v>
      </c>
      <c r="I600" s="17" t="s">
        <v>405</v>
      </c>
      <c r="J600" s="17" t="s">
        <v>406</v>
      </c>
      <c r="K600" s="17" t="n">
        <v>42</v>
      </c>
      <c r="L600" s="17" t="s">
        <v>31</v>
      </c>
      <c r="M600" s="17" t="s">
        <v>333</v>
      </c>
      <c r="N600" s="19" t="n">
        <v>5.98</v>
      </c>
      <c r="O600" s="19" t="n">
        <v>251.16</v>
      </c>
      <c r="P600" s="17" t="s">
        <v>43</v>
      </c>
      <c r="Q600" s="20" t="n">
        <f aca="false">DATE(D600,C600,B600)</f>
        <v>44686</v>
      </c>
      <c r="R600" s="17" t="str">
        <f aca="false">IF(HOUR(E600)&lt;6,"Madrugada (0-5 h)",IF(HOUR(E600)&lt;12,"Mañana (6-11 h)",IF(HOUR(E600)&lt;18,"Tarde (12-17 h)","Noche (18-23 h)")))</f>
        <v>Tarde (12-17 h)</v>
      </c>
    </row>
    <row r="601" customFormat="false" ht="15" hidden="false" customHeight="false" outlineLevel="0" collapsed="false">
      <c r="A601" s="17" t="n">
        <v>1600</v>
      </c>
      <c r="B601" s="17" t="n">
        <v>20</v>
      </c>
      <c r="C601" s="17" t="n">
        <v>1</v>
      </c>
      <c r="D601" s="17" t="n">
        <v>2021</v>
      </c>
      <c r="E601" s="18" t="n">
        <v>0.435185185185185</v>
      </c>
      <c r="F601" s="17" t="n">
        <v>2370</v>
      </c>
      <c r="G601" s="17" t="s">
        <v>407</v>
      </c>
      <c r="H601" s="17" t="s">
        <v>408</v>
      </c>
      <c r="I601" s="17" t="s">
        <v>409</v>
      </c>
      <c r="J601" s="17" t="s">
        <v>410</v>
      </c>
      <c r="K601" s="17" t="n">
        <v>13</v>
      </c>
      <c r="L601" s="17" t="s">
        <v>81</v>
      </c>
      <c r="M601" s="17" t="s">
        <v>333</v>
      </c>
      <c r="N601" s="19" t="n">
        <v>0.5</v>
      </c>
      <c r="O601" s="19" t="n">
        <v>6.5</v>
      </c>
      <c r="P601" s="17" t="s">
        <v>33</v>
      </c>
      <c r="Q601" s="20" t="n">
        <f aca="false">DATE(D601,C601,B601)</f>
        <v>44216</v>
      </c>
      <c r="R601" s="17" t="str">
        <f aca="false">IF(HOUR(E601)&lt;6,"Madrugada (0-5 h)",IF(HOUR(E601)&lt;12,"Mañana (6-11 h)",IF(HOUR(E601)&lt;18,"Tarde (12-17 h)","Noche (18-23 h)")))</f>
        <v>Mañana (6-11 h)</v>
      </c>
    </row>
    <row r="602" customFormat="false" ht="15" hidden="false" customHeight="false" outlineLevel="0" collapsed="false">
      <c r="A602" s="17" t="n">
        <v>1601</v>
      </c>
      <c r="B602" s="17" t="n">
        <v>9</v>
      </c>
      <c r="C602" s="17" t="n">
        <v>2</v>
      </c>
      <c r="D602" s="17" t="n">
        <v>2021</v>
      </c>
      <c r="E602" s="18" t="n">
        <v>0.0578472222222222</v>
      </c>
      <c r="F602" s="17" t="n">
        <v>1068</v>
      </c>
      <c r="G602" s="17" t="s">
        <v>27</v>
      </c>
      <c r="H602" s="17" t="s">
        <v>28</v>
      </c>
      <c r="I602" s="17" t="s">
        <v>29</v>
      </c>
      <c r="J602" s="17" t="s">
        <v>30</v>
      </c>
      <c r="K602" s="17" t="n">
        <v>48</v>
      </c>
      <c r="L602" s="17" t="s">
        <v>31</v>
      </c>
      <c r="M602" s="17" t="s">
        <v>32</v>
      </c>
      <c r="N602" s="19" t="n">
        <v>3.56</v>
      </c>
      <c r="O602" s="19" t="n">
        <v>170.88</v>
      </c>
      <c r="P602" s="17" t="s">
        <v>33</v>
      </c>
      <c r="Q602" s="20" t="n">
        <f aca="false">DATE(D602,C602,B602)</f>
        <v>44236</v>
      </c>
      <c r="R602" s="17" t="str">
        <f aca="false">IF(HOUR(E602)&lt;6,"Madrugada (0-5 h)",IF(HOUR(E602)&lt;12,"Mañana (6-11 h)",IF(HOUR(E602)&lt;18,"Tarde (12-17 h)","Noche (18-23 h)")))</f>
        <v>Madrugada (0-5 h)</v>
      </c>
    </row>
    <row r="603" customFormat="false" ht="15" hidden="false" customHeight="false" outlineLevel="0" collapsed="false">
      <c r="A603" s="17" t="n">
        <v>1602</v>
      </c>
      <c r="B603" s="17" t="n">
        <v>24</v>
      </c>
      <c r="C603" s="17" t="n">
        <v>5</v>
      </c>
      <c r="D603" s="17" t="n">
        <v>2022</v>
      </c>
      <c r="E603" s="18" t="n">
        <v>0.468576388888889</v>
      </c>
      <c r="F603" s="17" t="n">
        <v>4602</v>
      </c>
      <c r="G603" s="17" t="s">
        <v>34</v>
      </c>
      <c r="H603" s="17" t="s">
        <v>35</v>
      </c>
      <c r="I603" s="17" t="s">
        <v>36</v>
      </c>
      <c r="J603" s="17" t="s">
        <v>37</v>
      </c>
      <c r="K603" s="17" t="n">
        <v>34</v>
      </c>
      <c r="L603" s="17" t="s">
        <v>31</v>
      </c>
      <c r="M603" s="17" t="s">
        <v>32</v>
      </c>
      <c r="N603" s="19" t="n">
        <v>3.21</v>
      </c>
      <c r="O603" s="19" t="n">
        <v>109.14</v>
      </c>
      <c r="P603" s="17" t="s">
        <v>33</v>
      </c>
      <c r="Q603" s="20" t="n">
        <f aca="false">DATE(D603,C603,B603)</f>
        <v>44705</v>
      </c>
      <c r="R603" s="17" t="str">
        <f aca="false">IF(HOUR(E603)&lt;6,"Madrugada (0-5 h)",IF(HOUR(E603)&lt;12,"Mañana (6-11 h)",IF(HOUR(E603)&lt;18,"Tarde (12-17 h)","Noche (18-23 h)")))</f>
        <v>Mañana (6-11 h)</v>
      </c>
    </row>
    <row r="604" customFormat="false" ht="15" hidden="false" customHeight="false" outlineLevel="0" collapsed="false">
      <c r="A604" s="17" t="n">
        <v>1603</v>
      </c>
      <c r="B604" s="17" t="n">
        <v>11</v>
      </c>
      <c r="C604" s="17" t="n">
        <v>4</v>
      </c>
      <c r="D604" s="17" t="n">
        <v>2022</v>
      </c>
      <c r="E604" s="18" t="n">
        <v>0.0493402777777778</v>
      </c>
      <c r="F604" s="17" t="n">
        <v>3359</v>
      </c>
      <c r="G604" s="17" t="s">
        <v>38</v>
      </c>
      <c r="H604" s="17" t="s">
        <v>457</v>
      </c>
      <c r="I604" s="17" t="s">
        <v>40</v>
      </c>
      <c r="J604" s="17" t="s">
        <v>41</v>
      </c>
      <c r="K604" s="17" t="n">
        <v>17</v>
      </c>
      <c r="L604" s="17" t="s">
        <v>42</v>
      </c>
      <c r="M604" s="17" t="s">
        <v>32</v>
      </c>
      <c r="N604" s="19" t="n">
        <v>12.36</v>
      </c>
      <c r="O604" s="19" t="n">
        <v>210.12</v>
      </c>
      <c r="P604" s="17" t="s">
        <v>43</v>
      </c>
      <c r="Q604" s="20" t="n">
        <f aca="false">DATE(D604,C604,B604)</f>
        <v>44662</v>
      </c>
      <c r="R604" s="17" t="str">
        <f aca="false">IF(HOUR(E604)&lt;6,"Madrugada (0-5 h)",IF(HOUR(E604)&lt;12,"Mañana (6-11 h)",IF(HOUR(E604)&lt;18,"Tarde (12-17 h)","Noche (18-23 h)")))</f>
        <v>Madrugada (0-5 h)</v>
      </c>
    </row>
    <row r="605" customFormat="false" ht="15" hidden="false" customHeight="false" outlineLevel="0" collapsed="false">
      <c r="A605" s="17" t="n">
        <v>1604</v>
      </c>
      <c r="B605" s="17" t="n">
        <v>16</v>
      </c>
      <c r="C605" s="17" t="n">
        <v>2</v>
      </c>
      <c r="D605" s="17" t="n">
        <v>2021</v>
      </c>
      <c r="E605" s="18" t="n">
        <v>0.45193287037037</v>
      </c>
      <c r="F605" s="17" t="n">
        <v>4558</v>
      </c>
      <c r="G605" s="17" t="s">
        <v>44</v>
      </c>
      <c r="H605" s="17" t="s">
        <v>45</v>
      </c>
      <c r="I605" s="17" t="s">
        <v>46</v>
      </c>
      <c r="J605" s="17" t="s">
        <v>47</v>
      </c>
      <c r="K605" s="17" t="n">
        <v>46</v>
      </c>
      <c r="L605" s="17" t="s">
        <v>31</v>
      </c>
      <c r="M605" s="17" t="s">
        <v>48</v>
      </c>
      <c r="N605" s="19" t="n">
        <v>10.03</v>
      </c>
      <c r="O605" s="19" t="n">
        <v>461.38</v>
      </c>
      <c r="P605" s="17" t="s">
        <v>33</v>
      </c>
      <c r="Q605" s="20" t="n">
        <f aca="false">DATE(D605,C605,B605)</f>
        <v>44243</v>
      </c>
      <c r="R605" s="17" t="str">
        <f aca="false">IF(HOUR(E605)&lt;6,"Madrugada (0-5 h)",IF(HOUR(E605)&lt;12,"Mañana (6-11 h)",IF(HOUR(E605)&lt;18,"Tarde (12-17 h)","Noche (18-23 h)")))</f>
        <v>Mañana (6-11 h)</v>
      </c>
    </row>
    <row r="606" customFormat="false" ht="15" hidden="false" customHeight="false" outlineLevel="0" collapsed="false">
      <c r="A606" s="17" t="n">
        <v>1605</v>
      </c>
      <c r="B606" s="17" t="n">
        <v>2</v>
      </c>
      <c r="C606" s="17" t="n">
        <v>12</v>
      </c>
      <c r="D606" s="17" t="n">
        <v>2021</v>
      </c>
      <c r="E606" s="18" t="n">
        <v>0.0229050925925926</v>
      </c>
      <c r="F606" s="17" t="n">
        <v>1431</v>
      </c>
      <c r="G606" s="17" t="s">
        <v>49</v>
      </c>
      <c r="H606" s="17" t="s">
        <v>50</v>
      </c>
      <c r="I606" s="17" t="s">
        <v>51</v>
      </c>
      <c r="J606" s="17" t="s">
        <v>52</v>
      </c>
      <c r="K606" s="17" t="n">
        <v>16</v>
      </c>
      <c r="L606" s="17" t="s">
        <v>31</v>
      </c>
      <c r="M606" s="17" t="s">
        <v>48</v>
      </c>
      <c r="N606" s="19" t="n">
        <v>16.05</v>
      </c>
      <c r="O606" s="19" t="n">
        <v>256.8</v>
      </c>
      <c r="P606" s="17" t="s">
        <v>33</v>
      </c>
      <c r="Q606" s="20" t="n">
        <f aca="false">DATE(D606,C606,B606)</f>
        <v>44532</v>
      </c>
      <c r="R606" s="17" t="str">
        <f aca="false">IF(HOUR(E606)&lt;6,"Madrugada (0-5 h)",IF(HOUR(E606)&lt;12,"Mañana (6-11 h)",IF(HOUR(E606)&lt;18,"Tarde (12-17 h)","Noche (18-23 h)")))</f>
        <v>Madrugada (0-5 h)</v>
      </c>
    </row>
    <row r="607" customFormat="false" ht="15" hidden="false" customHeight="false" outlineLevel="0" collapsed="false">
      <c r="A607" s="17" t="n">
        <v>1606</v>
      </c>
      <c r="B607" s="17" t="n">
        <v>5</v>
      </c>
      <c r="C607" s="17" t="n">
        <v>5</v>
      </c>
      <c r="D607" s="17" t="n">
        <v>2022</v>
      </c>
      <c r="E607" s="18" t="n">
        <v>0.876435185185185</v>
      </c>
      <c r="F607" s="17" t="n">
        <v>4891</v>
      </c>
      <c r="G607" s="17" t="s">
        <v>53</v>
      </c>
      <c r="H607" s="17" t="s">
        <v>54</v>
      </c>
      <c r="I607" s="17" t="s">
        <v>55</v>
      </c>
      <c r="J607" s="17" t="s">
        <v>56</v>
      </c>
      <c r="K607" s="17" t="n">
        <v>2</v>
      </c>
      <c r="L607" s="17" t="s">
        <v>31</v>
      </c>
      <c r="M607" s="17" t="s">
        <v>48</v>
      </c>
      <c r="N607" s="19" t="n">
        <v>16.5</v>
      </c>
      <c r="O607" s="19" t="n">
        <v>33</v>
      </c>
      <c r="P607" s="17" t="s">
        <v>33</v>
      </c>
      <c r="Q607" s="20" t="n">
        <f aca="false">DATE(D607,C607,B607)</f>
        <v>44686</v>
      </c>
      <c r="R607" s="17" t="str">
        <f aca="false">IF(HOUR(E607)&lt;6,"Madrugada (0-5 h)",IF(HOUR(E607)&lt;12,"Mañana (6-11 h)",IF(HOUR(E607)&lt;18,"Tarde (12-17 h)","Noche (18-23 h)")))</f>
        <v>Noche (18-23 h)</v>
      </c>
    </row>
    <row r="608" customFormat="false" ht="15" hidden="false" customHeight="false" outlineLevel="0" collapsed="false">
      <c r="A608" s="17" t="n">
        <v>1607</v>
      </c>
      <c r="B608" s="17" t="n">
        <v>28</v>
      </c>
      <c r="C608" s="17" t="n">
        <v>2</v>
      </c>
      <c r="D608" s="17" t="n">
        <v>2021</v>
      </c>
      <c r="E608" s="18" t="n">
        <v>0.758229166666667</v>
      </c>
      <c r="F608" s="17" t="n">
        <v>2206</v>
      </c>
      <c r="G608" s="17" t="s">
        <v>57</v>
      </c>
      <c r="H608" s="17" t="s">
        <v>58</v>
      </c>
      <c r="I608" s="17" t="s">
        <v>59</v>
      </c>
      <c r="J608" s="17" t="s">
        <v>60</v>
      </c>
      <c r="K608" s="17" t="n">
        <v>24</v>
      </c>
      <c r="L608" s="17" t="s">
        <v>61</v>
      </c>
      <c r="M608" s="17" t="s">
        <v>62</v>
      </c>
      <c r="N608" s="19" t="n">
        <v>4.13</v>
      </c>
      <c r="O608" s="19" t="n">
        <v>99.12</v>
      </c>
      <c r="P608" s="17" t="s">
        <v>43</v>
      </c>
      <c r="Q608" s="20" t="n">
        <f aca="false">DATE(D608,C608,B608)</f>
        <v>44255</v>
      </c>
      <c r="R608" s="17" t="str">
        <f aca="false">IF(HOUR(E608)&lt;6,"Madrugada (0-5 h)",IF(HOUR(E608)&lt;12,"Mañana (6-11 h)",IF(HOUR(E608)&lt;18,"Tarde (12-17 h)","Noche (18-23 h)")))</f>
        <v>Noche (18-23 h)</v>
      </c>
    </row>
    <row r="609" customFormat="false" ht="15" hidden="false" customHeight="false" outlineLevel="0" collapsed="false">
      <c r="A609" s="17" t="n">
        <v>1608</v>
      </c>
      <c r="B609" s="17" t="n">
        <v>18</v>
      </c>
      <c r="C609" s="17" t="n">
        <v>2</v>
      </c>
      <c r="D609" s="17" t="n">
        <v>2021</v>
      </c>
      <c r="E609" s="18" t="n">
        <v>0.399722222222222</v>
      </c>
      <c r="F609" s="17" t="n">
        <v>2066</v>
      </c>
      <c r="G609" s="17" t="s">
        <v>63</v>
      </c>
      <c r="H609" s="17" t="s">
        <v>64</v>
      </c>
      <c r="I609" s="17" t="s">
        <v>65</v>
      </c>
      <c r="J609" s="17" t="s">
        <v>66</v>
      </c>
      <c r="K609" s="17" t="n">
        <v>33</v>
      </c>
      <c r="L609" s="17" t="s">
        <v>61</v>
      </c>
      <c r="M609" s="17" t="s">
        <v>32</v>
      </c>
      <c r="N609" s="19" t="n">
        <v>11.5</v>
      </c>
      <c r="O609" s="19" t="n">
        <v>379.5</v>
      </c>
      <c r="P609" s="17" t="s">
        <v>33</v>
      </c>
      <c r="Q609" s="20" t="n">
        <f aca="false">DATE(D609,C609,B609)</f>
        <v>44245</v>
      </c>
      <c r="R609" s="17" t="str">
        <f aca="false">IF(HOUR(E609)&lt;6,"Madrugada (0-5 h)",IF(HOUR(E609)&lt;12,"Mañana (6-11 h)",IF(HOUR(E609)&lt;18,"Tarde (12-17 h)","Noche (18-23 h)")))</f>
        <v>Mañana (6-11 h)</v>
      </c>
    </row>
    <row r="610" customFormat="false" ht="15" hidden="false" customHeight="false" outlineLevel="0" collapsed="false">
      <c r="A610" s="17" t="n">
        <v>1609</v>
      </c>
      <c r="B610" s="17" t="n">
        <v>12</v>
      </c>
      <c r="C610" s="17" t="n">
        <v>7</v>
      </c>
      <c r="D610" s="17" t="n">
        <v>2022</v>
      </c>
      <c r="E610" s="18" t="n">
        <v>0.875289351851852</v>
      </c>
      <c r="F610" s="17" t="n">
        <v>2997</v>
      </c>
      <c r="G610" s="17" t="s">
        <v>67</v>
      </c>
      <c r="H610" s="17" t="s">
        <v>68</v>
      </c>
      <c r="I610" s="17" t="s">
        <v>69</v>
      </c>
      <c r="J610" s="17" t="s">
        <v>70</v>
      </c>
      <c r="K610" s="17" t="n">
        <v>48</v>
      </c>
      <c r="L610" s="17" t="s">
        <v>31</v>
      </c>
      <c r="M610" s="17" t="s">
        <v>71</v>
      </c>
      <c r="N610" s="19" t="n">
        <v>5.5</v>
      </c>
      <c r="O610" s="19" t="n">
        <v>264</v>
      </c>
      <c r="P610" s="17" t="s">
        <v>33</v>
      </c>
      <c r="Q610" s="20" t="n">
        <f aca="false">DATE(D610,C610,B610)</f>
        <v>44754</v>
      </c>
      <c r="R610" s="17" t="str">
        <f aca="false">IF(HOUR(E610)&lt;6,"Madrugada (0-5 h)",IF(HOUR(E610)&lt;12,"Mañana (6-11 h)",IF(HOUR(E610)&lt;18,"Tarde (12-17 h)","Noche (18-23 h)")))</f>
        <v>Noche (18-23 h)</v>
      </c>
    </row>
    <row r="611" customFormat="false" ht="15" hidden="false" customHeight="false" outlineLevel="0" collapsed="false">
      <c r="A611" s="17" t="n">
        <v>1610</v>
      </c>
      <c r="B611" s="17" t="n">
        <v>22</v>
      </c>
      <c r="C611" s="17" t="n">
        <v>1</v>
      </c>
      <c r="D611" s="17" t="n">
        <v>2021</v>
      </c>
      <c r="E611" s="18" t="n">
        <v>0.984699074074074</v>
      </c>
      <c r="F611" s="17" t="n">
        <v>4415</v>
      </c>
      <c r="G611" s="17" t="s">
        <v>72</v>
      </c>
      <c r="H611" s="17" t="s">
        <v>73</v>
      </c>
      <c r="I611" s="17" t="s">
        <v>74</v>
      </c>
      <c r="J611" s="17" t="s">
        <v>75</v>
      </c>
      <c r="K611" s="17" t="n">
        <v>28</v>
      </c>
      <c r="L611" s="17" t="s">
        <v>61</v>
      </c>
      <c r="M611" s="17" t="s">
        <v>76</v>
      </c>
      <c r="N611" s="19" t="n">
        <v>13.71</v>
      </c>
      <c r="O611" s="19" t="n">
        <v>383.88</v>
      </c>
      <c r="P611" s="17" t="s">
        <v>33</v>
      </c>
      <c r="Q611" s="20" t="n">
        <f aca="false">DATE(D611,C611,B611)</f>
        <v>44218</v>
      </c>
      <c r="R611" s="17" t="str">
        <f aca="false">IF(HOUR(E611)&lt;6,"Madrugada (0-5 h)",IF(HOUR(E611)&lt;12,"Mañana (6-11 h)",IF(HOUR(E611)&lt;18,"Tarde (12-17 h)","Noche (18-23 h)")))</f>
        <v>Noche (18-23 h)</v>
      </c>
    </row>
    <row r="612" customFormat="false" ht="15" hidden="false" customHeight="false" outlineLevel="0" collapsed="false">
      <c r="A612" s="17" t="n">
        <v>1611</v>
      </c>
      <c r="B612" s="17" t="n">
        <v>18</v>
      </c>
      <c r="C612" s="17" t="n">
        <v>2</v>
      </c>
      <c r="D612" s="17" t="n">
        <v>2021</v>
      </c>
      <c r="E612" s="18" t="n">
        <v>0.152881944444444</v>
      </c>
      <c r="F612" s="17" t="n">
        <v>1866</v>
      </c>
      <c r="G612" s="17" t="s">
        <v>77</v>
      </c>
      <c r="H612" s="17" t="s">
        <v>78</v>
      </c>
      <c r="I612" s="17" t="s">
        <v>79</v>
      </c>
      <c r="J612" s="17" t="s">
        <v>80</v>
      </c>
      <c r="K612" s="17" t="n">
        <v>40</v>
      </c>
      <c r="L612" s="17" t="s">
        <v>412</v>
      </c>
      <c r="M612" s="17" t="s">
        <v>82</v>
      </c>
      <c r="N612" s="19" t="n">
        <v>7.89</v>
      </c>
      <c r="O612" s="19" t="n">
        <v>315.6</v>
      </c>
      <c r="P612" s="17" t="s">
        <v>33</v>
      </c>
      <c r="Q612" s="20" t="n">
        <f aca="false">DATE(D612,C612,B612)</f>
        <v>44245</v>
      </c>
      <c r="R612" s="17" t="str">
        <f aca="false">IF(HOUR(E612)&lt;6,"Madrugada (0-5 h)",IF(HOUR(E612)&lt;12,"Mañana (6-11 h)",IF(HOUR(E612)&lt;18,"Tarde (12-17 h)","Noche (18-23 h)")))</f>
        <v>Madrugada (0-5 h)</v>
      </c>
    </row>
    <row r="613" customFormat="false" ht="15" hidden="false" customHeight="false" outlineLevel="0" collapsed="false">
      <c r="A613" s="17" t="n">
        <v>1612</v>
      </c>
      <c r="B613" s="17" t="n">
        <v>18</v>
      </c>
      <c r="C613" s="17" t="n">
        <v>10</v>
      </c>
      <c r="D613" s="17" t="n">
        <v>2022</v>
      </c>
      <c r="E613" s="18" t="n">
        <v>0.884965277777778</v>
      </c>
      <c r="F613" s="17" t="n">
        <v>4621</v>
      </c>
      <c r="G613" s="17" t="s">
        <v>83</v>
      </c>
      <c r="H613" s="17" t="s">
        <v>84</v>
      </c>
      <c r="I613" s="17" t="s">
        <v>85</v>
      </c>
      <c r="J613" s="17" t="s">
        <v>86</v>
      </c>
      <c r="K613" s="17" t="n">
        <v>21</v>
      </c>
      <c r="L613" s="17" t="s">
        <v>42</v>
      </c>
      <c r="M613" s="17" t="s">
        <v>32</v>
      </c>
      <c r="N613" s="19" t="n">
        <v>6</v>
      </c>
      <c r="O613" s="19" t="n">
        <v>126</v>
      </c>
      <c r="P613" s="17" t="s">
        <v>43</v>
      </c>
      <c r="Q613" s="20" t="n">
        <f aca="false">DATE(D613,C613,B613)</f>
        <v>44852</v>
      </c>
      <c r="R613" s="17" t="str">
        <f aca="false">IF(HOUR(E613)&lt;6,"Madrugada (0-5 h)",IF(HOUR(E613)&lt;12,"Mañana (6-11 h)",IF(HOUR(E613)&lt;18,"Tarde (12-17 h)","Noche (18-23 h)")))</f>
        <v>Noche (18-23 h)</v>
      </c>
    </row>
    <row r="614" customFormat="false" ht="15" hidden="false" customHeight="false" outlineLevel="0" collapsed="false">
      <c r="A614" s="17" t="n">
        <v>1613</v>
      </c>
      <c r="B614" s="17" t="n">
        <v>19</v>
      </c>
      <c r="C614" s="17" t="n">
        <v>12</v>
      </c>
      <c r="D614" s="17" t="n">
        <v>2022</v>
      </c>
      <c r="E614" s="18" t="n">
        <v>0.534791666666667</v>
      </c>
      <c r="F614" s="17" t="n">
        <v>3799</v>
      </c>
      <c r="G614" s="17" t="s">
        <v>87</v>
      </c>
      <c r="H614" s="17" t="s">
        <v>88</v>
      </c>
      <c r="I614" s="17" t="s">
        <v>89</v>
      </c>
      <c r="J614" s="17" t="s">
        <v>90</v>
      </c>
      <c r="K614" s="17" t="n">
        <v>35</v>
      </c>
      <c r="L614" s="17" t="s">
        <v>31</v>
      </c>
      <c r="M614" s="17" t="s">
        <v>48</v>
      </c>
      <c r="N614" s="19" t="n">
        <v>13.54</v>
      </c>
      <c r="O614" s="19" t="n">
        <v>473.9</v>
      </c>
      <c r="P614" s="17" t="s">
        <v>33</v>
      </c>
      <c r="Q614" s="20" t="n">
        <f aca="false">DATE(D614,C614,B614)</f>
        <v>44914</v>
      </c>
      <c r="R614" s="17" t="str">
        <f aca="false">IF(HOUR(E614)&lt;6,"Madrugada (0-5 h)",IF(HOUR(E614)&lt;12,"Mañana (6-11 h)",IF(HOUR(E614)&lt;18,"Tarde (12-17 h)","Noche (18-23 h)")))</f>
        <v>Tarde (12-17 h)</v>
      </c>
    </row>
    <row r="615" customFormat="false" ht="15" hidden="false" customHeight="false" outlineLevel="0" collapsed="false">
      <c r="A615" s="17" t="n">
        <v>1614</v>
      </c>
      <c r="B615" s="17" t="n">
        <v>23</v>
      </c>
      <c r="C615" s="17" t="n">
        <v>4</v>
      </c>
      <c r="D615" s="17" t="n">
        <v>2021</v>
      </c>
      <c r="E615" s="18" t="n">
        <v>0.0431365740740741</v>
      </c>
      <c r="F615" s="17" t="n">
        <v>3155</v>
      </c>
      <c r="G615" s="17" t="s">
        <v>91</v>
      </c>
      <c r="H615" s="17" t="s">
        <v>92</v>
      </c>
      <c r="I615" s="17" t="s">
        <v>93</v>
      </c>
      <c r="J615" s="17" t="s">
        <v>94</v>
      </c>
      <c r="K615" s="17" t="n">
        <v>3</v>
      </c>
      <c r="L615" s="17" t="s">
        <v>61</v>
      </c>
      <c r="M615" s="17" t="s">
        <v>32</v>
      </c>
      <c r="N615" s="19" t="n">
        <v>4.12</v>
      </c>
      <c r="O615" s="19" t="n">
        <v>12.36</v>
      </c>
      <c r="P615" s="17" t="s">
        <v>33</v>
      </c>
      <c r="Q615" s="20" t="n">
        <f aca="false">DATE(D615,C615,B615)</f>
        <v>44309</v>
      </c>
      <c r="R615" s="17" t="str">
        <f aca="false">IF(HOUR(E615)&lt;6,"Madrugada (0-5 h)",IF(HOUR(E615)&lt;12,"Mañana (6-11 h)",IF(HOUR(E615)&lt;18,"Tarde (12-17 h)","Noche (18-23 h)")))</f>
        <v>Madrugada (0-5 h)</v>
      </c>
    </row>
    <row r="616" customFormat="false" ht="15" hidden="false" customHeight="false" outlineLevel="0" collapsed="false">
      <c r="A616" s="17" t="n">
        <v>1615</v>
      </c>
      <c r="B616" s="17" t="n">
        <v>6</v>
      </c>
      <c r="C616" s="17" t="n">
        <v>5</v>
      </c>
      <c r="D616" s="17" t="n">
        <v>2021</v>
      </c>
      <c r="E616" s="18" t="n">
        <v>0.918483796296296</v>
      </c>
      <c r="F616" s="17" t="n">
        <v>1415</v>
      </c>
      <c r="G616" s="17" t="s">
        <v>95</v>
      </c>
      <c r="H616" s="17" t="s">
        <v>96</v>
      </c>
      <c r="I616" s="17" t="s">
        <v>97</v>
      </c>
      <c r="J616" s="17" t="s">
        <v>97</v>
      </c>
      <c r="K616" s="17" t="n">
        <v>11</v>
      </c>
      <c r="L616" s="17" t="s">
        <v>98</v>
      </c>
      <c r="M616" s="17" t="s">
        <v>48</v>
      </c>
      <c r="N616" s="19" t="n">
        <v>4.33</v>
      </c>
      <c r="O616" s="19" t="n">
        <v>47.63</v>
      </c>
      <c r="P616" s="17" t="s">
        <v>33</v>
      </c>
      <c r="Q616" s="20" t="n">
        <f aca="false">DATE(D616,C616,B616)</f>
        <v>44322</v>
      </c>
      <c r="R616" s="17" t="str">
        <f aca="false">IF(HOUR(E616)&lt;6,"Madrugada (0-5 h)",IF(HOUR(E616)&lt;12,"Mañana (6-11 h)",IF(HOUR(E616)&lt;18,"Tarde (12-17 h)","Noche (18-23 h)")))</f>
        <v>Noche (18-23 h)</v>
      </c>
    </row>
    <row r="617" customFormat="false" ht="15" hidden="false" customHeight="false" outlineLevel="0" collapsed="false">
      <c r="A617" s="17" t="n">
        <v>1616</v>
      </c>
      <c r="B617" s="17" t="n">
        <v>22</v>
      </c>
      <c r="C617" s="17" t="n">
        <v>10</v>
      </c>
      <c r="D617" s="17" t="n">
        <v>2022</v>
      </c>
      <c r="E617" s="18" t="n">
        <v>0.413321759259259</v>
      </c>
      <c r="F617" s="17" t="n">
        <v>3926</v>
      </c>
      <c r="G617" s="17" t="s">
        <v>99</v>
      </c>
      <c r="H617" s="17" t="s">
        <v>100</v>
      </c>
      <c r="I617" s="17" t="s">
        <v>101</v>
      </c>
      <c r="J617" s="17" t="s">
        <v>102</v>
      </c>
      <c r="K617" s="17" t="n">
        <v>17</v>
      </c>
      <c r="L617" s="17" t="s">
        <v>103</v>
      </c>
      <c r="M617" s="17" t="s">
        <v>32</v>
      </c>
      <c r="N617" s="19" t="n">
        <v>6.97</v>
      </c>
      <c r="O617" s="19" t="n">
        <v>118.49</v>
      </c>
      <c r="P617" s="17" t="s">
        <v>43</v>
      </c>
      <c r="Q617" s="20" t="n">
        <f aca="false">DATE(D617,C617,B617)</f>
        <v>44856</v>
      </c>
      <c r="R617" s="17" t="str">
        <f aca="false">IF(HOUR(E617)&lt;6,"Madrugada (0-5 h)",IF(HOUR(E617)&lt;12,"Mañana (6-11 h)",IF(HOUR(E617)&lt;18,"Tarde (12-17 h)","Noche (18-23 h)")))</f>
        <v>Mañana (6-11 h)</v>
      </c>
    </row>
    <row r="618" customFormat="false" ht="15" hidden="false" customHeight="false" outlineLevel="0" collapsed="false">
      <c r="A618" s="17" t="n">
        <v>1617</v>
      </c>
      <c r="B618" s="17" t="n">
        <v>14</v>
      </c>
      <c r="C618" s="17" t="n">
        <v>6</v>
      </c>
      <c r="D618" s="17" t="n">
        <v>2022</v>
      </c>
      <c r="E618" s="18" t="n">
        <v>0.507824074074074</v>
      </c>
      <c r="F618" s="17" t="n">
        <v>1841</v>
      </c>
      <c r="G618" s="17" t="s">
        <v>104</v>
      </c>
      <c r="H618" s="17" t="s">
        <v>105</v>
      </c>
      <c r="I618" s="17" t="s">
        <v>106</v>
      </c>
      <c r="J618" s="17" t="s">
        <v>107</v>
      </c>
      <c r="K618" s="17" t="n">
        <v>39</v>
      </c>
      <c r="L618" s="17" t="s">
        <v>31</v>
      </c>
      <c r="M618" s="17" t="s">
        <v>32</v>
      </c>
      <c r="N618" s="19" t="n">
        <v>4.45</v>
      </c>
      <c r="O618" s="19" t="n">
        <v>173.55</v>
      </c>
      <c r="P618" s="17" t="s">
        <v>33</v>
      </c>
      <c r="Q618" s="20" t="n">
        <f aca="false">DATE(D618,C618,B618)</f>
        <v>44726</v>
      </c>
      <c r="R618" s="17" t="str">
        <f aca="false">IF(HOUR(E618)&lt;6,"Madrugada (0-5 h)",IF(HOUR(E618)&lt;12,"Mañana (6-11 h)",IF(HOUR(E618)&lt;18,"Tarde (12-17 h)","Noche (18-23 h)")))</f>
        <v>Tarde (12-17 h)</v>
      </c>
    </row>
    <row r="619" customFormat="false" ht="15" hidden="false" customHeight="false" outlineLevel="0" collapsed="false">
      <c r="A619" s="17" t="n">
        <v>1618</v>
      </c>
      <c r="B619" s="17" t="n">
        <v>18</v>
      </c>
      <c r="C619" s="17" t="n">
        <v>11</v>
      </c>
      <c r="D619" s="17" t="n">
        <v>2021</v>
      </c>
      <c r="E619" s="18" t="n">
        <v>0.732395833333333</v>
      </c>
      <c r="F619" s="17" t="n">
        <v>3282</v>
      </c>
      <c r="G619" s="17" t="s">
        <v>108</v>
      </c>
      <c r="H619" s="17" t="s">
        <v>109</v>
      </c>
      <c r="I619" s="17" t="s">
        <v>110</v>
      </c>
      <c r="J619" s="17" t="s">
        <v>111</v>
      </c>
      <c r="K619" s="17" t="n">
        <v>25</v>
      </c>
      <c r="L619" s="17" t="s">
        <v>81</v>
      </c>
      <c r="M619" s="17" t="s">
        <v>82</v>
      </c>
      <c r="N619" s="19" t="n">
        <v>6.5</v>
      </c>
      <c r="O619" s="19" t="n">
        <v>162.5</v>
      </c>
      <c r="P619" s="17" t="s">
        <v>43</v>
      </c>
      <c r="Q619" s="20" t="n">
        <f aca="false">DATE(D619,C619,B619)</f>
        <v>44518</v>
      </c>
      <c r="R619" s="17" t="str">
        <f aca="false">IF(HOUR(E619)&lt;6,"Madrugada (0-5 h)",IF(HOUR(E619)&lt;12,"Mañana (6-11 h)",IF(HOUR(E619)&lt;18,"Tarde (12-17 h)","Noche (18-23 h)")))</f>
        <v>Tarde (12-17 h)</v>
      </c>
    </row>
    <row r="620" customFormat="false" ht="15" hidden="false" customHeight="false" outlineLevel="0" collapsed="false">
      <c r="A620" s="17" t="n">
        <v>1619</v>
      </c>
      <c r="B620" s="17" t="n">
        <v>7</v>
      </c>
      <c r="C620" s="17" t="n">
        <v>12</v>
      </c>
      <c r="D620" s="17" t="n">
        <v>2022</v>
      </c>
      <c r="E620" s="18" t="n">
        <v>0.696631944444444</v>
      </c>
      <c r="F620" s="17" t="n">
        <v>4498</v>
      </c>
      <c r="G620" s="17" t="s">
        <v>112</v>
      </c>
      <c r="H620" s="17" t="s">
        <v>113</v>
      </c>
      <c r="I620" s="17" t="s">
        <v>114</v>
      </c>
      <c r="J620" s="17" t="s">
        <v>115</v>
      </c>
      <c r="K620" s="17" t="n">
        <v>49</v>
      </c>
      <c r="L620" s="17" t="s">
        <v>81</v>
      </c>
      <c r="M620" s="17" t="s">
        <v>116</v>
      </c>
      <c r="N620" s="19" t="n">
        <v>4.86</v>
      </c>
      <c r="O620" s="19" t="n">
        <v>238.14</v>
      </c>
      <c r="P620" s="17" t="s">
        <v>33</v>
      </c>
      <c r="Q620" s="20" t="n">
        <f aca="false">DATE(D620,C620,B620)</f>
        <v>44902</v>
      </c>
      <c r="R620" s="17" t="str">
        <f aca="false">IF(HOUR(E620)&lt;6,"Madrugada (0-5 h)",IF(HOUR(E620)&lt;12,"Mañana (6-11 h)",IF(HOUR(E620)&lt;18,"Tarde (12-17 h)","Noche (18-23 h)")))</f>
        <v>Tarde (12-17 h)</v>
      </c>
    </row>
    <row r="621" customFormat="false" ht="15" hidden="false" customHeight="false" outlineLevel="0" collapsed="false">
      <c r="A621" s="17" t="n">
        <v>1620</v>
      </c>
      <c r="B621" s="17" t="n">
        <v>21</v>
      </c>
      <c r="C621" s="17" t="n">
        <v>11</v>
      </c>
      <c r="D621" s="17" t="n">
        <v>2022</v>
      </c>
      <c r="E621" s="18" t="n">
        <v>0.166736111111111</v>
      </c>
      <c r="F621" s="17" t="n">
        <v>4544</v>
      </c>
      <c r="G621" s="17" t="s">
        <v>117</v>
      </c>
      <c r="H621" s="17" t="s">
        <v>118</v>
      </c>
      <c r="I621" s="17" t="s">
        <v>119</v>
      </c>
      <c r="J621" s="17" t="s">
        <v>115</v>
      </c>
      <c r="K621" s="17" t="n">
        <v>19</v>
      </c>
      <c r="L621" s="17" t="s">
        <v>81</v>
      </c>
      <c r="M621" s="17" t="s">
        <v>120</v>
      </c>
      <c r="N621" s="19" t="n">
        <v>3.54</v>
      </c>
      <c r="O621" s="19" t="n">
        <v>67.26</v>
      </c>
      <c r="P621" s="17" t="s">
        <v>33</v>
      </c>
      <c r="Q621" s="20" t="n">
        <f aca="false">DATE(D621,C621,B621)</f>
        <v>44886</v>
      </c>
      <c r="R621" s="17" t="str">
        <f aca="false">IF(HOUR(E621)&lt;6,"Madrugada (0-5 h)",IF(HOUR(E621)&lt;12,"Mañana (6-11 h)",IF(HOUR(E621)&lt;18,"Tarde (12-17 h)","Noche (18-23 h)")))</f>
        <v>Madrugada (0-5 h)</v>
      </c>
    </row>
    <row r="622" customFormat="false" ht="15" hidden="false" customHeight="false" outlineLevel="0" collapsed="false">
      <c r="A622" s="17" t="n">
        <v>1621</v>
      </c>
      <c r="B622" s="17" t="n">
        <v>9</v>
      </c>
      <c r="C622" s="17" t="n">
        <v>1</v>
      </c>
      <c r="D622" s="17" t="n">
        <v>2021</v>
      </c>
      <c r="E622" s="18" t="n">
        <v>0.688518518518519</v>
      </c>
      <c r="F622" s="17" t="n">
        <v>1871</v>
      </c>
      <c r="G622" s="17" t="s">
        <v>121</v>
      </c>
      <c r="H622" s="17" t="s">
        <v>122</v>
      </c>
      <c r="I622" s="17" t="s">
        <v>123</v>
      </c>
      <c r="J622" s="17" t="s">
        <v>124</v>
      </c>
      <c r="K622" s="17" t="n">
        <v>1</v>
      </c>
      <c r="L622" s="17" t="s">
        <v>125</v>
      </c>
      <c r="M622" s="17" t="s">
        <v>76</v>
      </c>
      <c r="N622" s="19" t="n">
        <v>7</v>
      </c>
      <c r="O622" s="19" t="n">
        <v>7</v>
      </c>
      <c r="P622" s="17" t="s">
        <v>33</v>
      </c>
      <c r="Q622" s="20" t="n">
        <f aca="false">DATE(D622,C622,B622)</f>
        <v>44205</v>
      </c>
      <c r="R622" s="17" t="str">
        <f aca="false">IF(HOUR(E622)&lt;6,"Madrugada (0-5 h)",IF(HOUR(E622)&lt;12,"Mañana (6-11 h)",IF(HOUR(E622)&lt;18,"Tarde (12-17 h)","Noche (18-23 h)")))</f>
        <v>Tarde (12-17 h)</v>
      </c>
    </row>
    <row r="623" customFormat="false" ht="15" hidden="false" customHeight="false" outlineLevel="0" collapsed="false">
      <c r="A623" s="17" t="n">
        <v>1622</v>
      </c>
      <c r="B623" s="17" t="n">
        <v>8</v>
      </c>
      <c r="C623" s="17" t="n">
        <v>9</v>
      </c>
      <c r="D623" s="17" t="n">
        <v>2021</v>
      </c>
      <c r="E623" s="18" t="n">
        <v>0.0224189814814815</v>
      </c>
      <c r="F623" s="17" t="n">
        <v>3846</v>
      </c>
      <c r="G623" s="17" t="s">
        <v>126</v>
      </c>
      <c r="H623" s="17" t="s">
        <v>127</v>
      </c>
      <c r="I623" s="17" t="s">
        <v>128</v>
      </c>
      <c r="J623" s="17" t="s">
        <v>129</v>
      </c>
      <c r="K623" s="17" t="n">
        <v>39</v>
      </c>
      <c r="L623" s="17" t="s">
        <v>98</v>
      </c>
      <c r="M623" s="17" t="s">
        <v>62</v>
      </c>
      <c r="N623" s="19" t="n">
        <v>3.05</v>
      </c>
      <c r="O623" s="19" t="n">
        <v>118.95</v>
      </c>
      <c r="P623" s="17" t="s">
        <v>33</v>
      </c>
      <c r="Q623" s="20" t="n">
        <f aca="false">DATE(D623,C623,B623)</f>
        <v>44447</v>
      </c>
      <c r="R623" s="17" t="str">
        <f aca="false">IF(HOUR(E623)&lt;6,"Madrugada (0-5 h)",IF(HOUR(E623)&lt;12,"Mañana (6-11 h)",IF(HOUR(E623)&lt;18,"Tarde (12-17 h)","Noche (18-23 h)")))</f>
        <v>Madrugada (0-5 h)</v>
      </c>
    </row>
    <row r="624" customFormat="false" ht="15" hidden="false" customHeight="false" outlineLevel="0" collapsed="false">
      <c r="A624" s="17" t="n">
        <v>1623</v>
      </c>
      <c r="B624" s="17" t="n">
        <v>9</v>
      </c>
      <c r="C624" s="17" t="n">
        <v>5</v>
      </c>
      <c r="D624" s="17" t="n">
        <v>2021</v>
      </c>
      <c r="E624" s="18" t="n">
        <v>0.445960648148148</v>
      </c>
      <c r="F624" s="17" t="n">
        <v>2151</v>
      </c>
      <c r="G624" s="17" t="s">
        <v>130</v>
      </c>
      <c r="H624" s="17" t="s">
        <v>131</v>
      </c>
      <c r="I624" s="17" t="s">
        <v>132</v>
      </c>
      <c r="J624" s="17" t="s">
        <v>129</v>
      </c>
      <c r="K624" s="17" t="n">
        <v>47</v>
      </c>
      <c r="L624" s="17" t="s">
        <v>98</v>
      </c>
      <c r="M624" s="17" t="s">
        <v>62</v>
      </c>
      <c r="N624" s="19" t="n">
        <v>4.57</v>
      </c>
      <c r="O624" s="19" t="n">
        <v>214.79</v>
      </c>
      <c r="P624" s="17" t="s">
        <v>33</v>
      </c>
      <c r="Q624" s="20" t="n">
        <f aca="false">DATE(D624,C624,B624)</f>
        <v>44325</v>
      </c>
      <c r="R624" s="17" t="str">
        <f aca="false">IF(HOUR(E624)&lt;6,"Madrugada (0-5 h)",IF(HOUR(E624)&lt;12,"Mañana (6-11 h)",IF(HOUR(E624)&lt;18,"Tarde (12-17 h)","Noche (18-23 h)")))</f>
        <v>Mañana (6-11 h)</v>
      </c>
    </row>
    <row r="625" customFormat="false" ht="15" hidden="false" customHeight="false" outlineLevel="0" collapsed="false">
      <c r="A625" s="17" t="n">
        <v>1624</v>
      </c>
      <c r="B625" s="17" t="n">
        <v>18</v>
      </c>
      <c r="C625" s="17" t="n">
        <v>2</v>
      </c>
      <c r="D625" s="17" t="n">
        <v>2021</v>
      </c>
      <c r="E625" s="18" t="n">
        <v>0.715532407407407</v>
      </c>
      <c r="F625" s="17" t="n">
        <v>4419</v>
      </c>
      <c r="G625" s="17" t="s">
        <v>133</v>
      </c>
      <c r="H625" s="17" t="s">
        <v>134</v>
      </c>
      <c r="I625" s="17" t="s">
        <v>135</v>
      </c>
      <c r="J625" s="17" t="s">
        <v>136</v>
      </c>
      <c r="K625" s="17" t="n">
        <v>27</v>
      </c>
      <c r="L625" s="17" t="s">
        <v>81</v>
      </c>
      <c r="M625" s="17" t="s">
        <v>76</v>
      </c>
      <c r="N625" s="19" t="n">
        <v>9.89</v>
      </c>
      <c r="O625" s="19" t="n">
        <v>267.03</v>
      </c>
      <c r="P625" s="17" t="s">
        <v>33</v>
      </c>
      <c r="Q625" s="20" t="n">
        <f aca="false">DATE(D625,C625,B625)</f>
        <v>44245</v>
      </c>
      <c r="R625" s="17" t="str">
        <f aca="false">IF(HOUR(E625)&lt;6,"Madrugada (0-5 h)",IF(HOUR(E625)&lt;12,"Mañana (6-11 h)",IF(HOUR(E625)&lt;18,"Tarde (12-17 h)","Noche (18-23 h)")))</f>
        <v>Tarde (12-17 h)</v>
      </c>
    </row>
    <row r="626" customFormat="false" ht="15" hidden="false" customHeight="false" outlineLevel="0" collapsed="false">
      <c r="A626" s="17" t="n">
        <v>1625</v>
      </c>
      <c r="B626" s="17" t="n">
        <v>18</v>
      </c>
      <c r="C626" s="17" t="n">
        <v>10</v>
      </c>
      <c r="D626" s="17" t="n">
        <v>2021</v>
      </c>
      <c r="E626" s="18" t="n">
        <v>0.534641203703704</v>
      </c>
      <c r="F626" s="17" t="n">
        <v>4376</v>
      </c>
      <c r="G626" s="17" t="s">
        <v>137</v>
      </c>
      <c r="H626" s="21" t="s">
        <v>458</v>
      </c>
      <c r="I626" s="17" t="s">
        <v>139</v>
      </c>
      <c r="J626" s="17" t="s">
        <v>140</v>
      </c>
      <c r="K626" s="17" t="n">
        <v>23</v>
      </c>
      <c r="L626" s="17" t="s">
        <v>31</v>
      </c>
      <c r="M626" s="17" t="s">
        <v>32</v>
      </c>
      <c r="N626" s="19" t="n">
        <v>3.44</v>
      </c>
      <c r="O626" s="19" t="n">
        <v>79.12</v>
      </c>
      <c r="P626" s="17" t="s">
        <v>43</v>
      </c>
      <c r="Q626" s="20" t="n">
        <f aca="false">DATE(D626,C626,B626)</f>
        <v>44487</v>
      </c>
      <c r="R626" s="17" t="str">
        <f aca="false">IF(HOUR(E626)&lt;6,"Madrugada (0-5 h)",IF(HOUR(E626)&lt;12,"Mañana (6-11 h)",IF(HOUR(E626)&lt;18,"Tarde (12-17 h)","Noche (18-23 h)")))</f>
        <v>Tarde (12-17 h)</v>
      </c>
    </row>
    <row r="627" customFormat="false" ht="15" hidden="false" customHeight="false" outlineLevel="0" collapsed="false">
      <c r="A627" s="17" t="n">
        <v>1626</v>
      </c>
      <c r="B627" s="17" t="n">
        <v>5</v>
      </c>
      <c r="C627" s="17" t="n">
        <v>7</v>
      </c>
      <c r="D627" s="17" t="n">
        <v>2022</v>
      </c>
      <c r="E627" s="18" t="n">
        <v>0.892847222222222</v>
      </c>
      <c r="F627" s="17" t="n">
        <v>2285</v>
      </c>
      <c r="G627" s="17" t="s">
        <v>141</v>
      </c>
      <c r="H627" s="17" t="s">
        <v>142</v>
      </c>
      <c r="I627" s="17" t="s">
        <v>143</v>
      </c>
      <c r="J627" s="17" t="s">
        <v>144</v>
      </c>
      <c r="K627" s="17" t="n">
        <v>46</v>
      </c>
      <c r="L627" s="17" t="s">
        <v>42</v>
      </c>
      <c r="M627" s="17" t="s">
        <v>48</v>
      </c>
      <c r="N627" s="19" t="n">
        <v>8.88</v>
      </c>
      <c r="O627" s="19" t="n">
        <v>408.48</v>
      </c>
      <c r="P627" s="17" t="s">
        <v>33</v>
      </c>
      <c r="Q627" s="20" t="n">
        <f aca="false">DATE(D627,C627,B627)</f>
        <v>44747</v>
      </c>
      <c r="R627" s="17" t="str">
        <f aca="false">IF(HOUR(E627)&lt;6,"Madrugada (0-5 h)",IF(HOUR(E627)&lt;12,"Mañana (6-11 h)",IF(HOUR(E627)&lt;18,"Tarde (12-17 h)","Noche (18-23 h)")))</f>
        <v>Noche (18-23 h)</v>
      </c>
    </row>
    <row r="628" customFormat="false" ht="15" hidden="false" customHeight="false" outlineLevel="0" collapsed="false">
      <c r="A628" s="17" t="n">
        <v>1627</v>
      </c>
      <c r="B628" s="17" t="n">
        <v>18</v>
      </c>
      <c r="C628" s="17" t="n">
        <v>1</v>
      </c>
      <c r="D628" s="17" t="n">
        <v>2022</v>
      </c>
      <c r="E628" s="18" t="n">
        <v>0.418483796296296</v>
      </c>
      <c r="F628" s="17" t="n">
        <v>4329</v>
      </c>
      <c r="G628" s="17" t="s">
        <v>145</v>
      </c>
      <c r="H628" s="17" t="s">
        <v>146</v>
      </c>
      <c r="I628" s="17" t="s">
        <v>147</v>
      </c>
      <c r="J628" s="17" t="s">
        <v>148</v>
      </c>
      <c r="K628" s="17" t="n">
        <v>5</v>
      </c>
      <c r="L628" s="17" t="s">
        <v>42</v>
      </c>
      <c r="M628" s="17" t="s">
        <v>48</v>
      </c>
      <c r="N628" s="19" t="n">
        <v>15.87</v>
      </c>
      <c r="O628" s="19" t="n">
        <v>79.35</v>
      </c>
      <c r="P628" s="17" t="s">
        <v>33</v>
      </c>
      <c r="Q628" s="20" t="n">
        <f aca="false">DATE(D628,C628,B628)</f>
        <v>44579</v>
      </c>
      <c r="R628" s="17" t="str">
        <f aca="false">IF(HOUR(E628)&lt;6,"Madrugada (0-5 h)",IF(HOUR(E628)&lt;12,"Mañana (6-11 h)",IF(HOUR(E628)&lt;18,"Tarde (12-17 h)","Noche (18-23 h)")))</f>
        <v>Mañana (6-11 h)</v>
      </c>
    </row>
    <row r="629" customFormat="false" ht="15" hidden="false" customHeight="false" outlineLevel="0" collapsed="false">
      <c r="A629" s="17" t="n">
        <v>1628</v>
      </c>
      <c r="B629" s="17" t="n">
        <v>23</v>
      </c>
      <c r="C629" s="17" t="n">
        <v>1</v>
      </c>
      <c r="D629" s="17" t="n">
        <v>2021</v>
      </c>
      <c r="E629" s="18" t="n">
        <v>0.5528125</v>
      </c>
      <c r="F629" s="17" t="n">
        <v>3677</v>
      </c>
      <c r="G629" s="17" t="s">
        <v>149</v>
      </c>
      <c r="H629" s="17" t="s">
        <v>150</v>
      </c>
      <c r="I629" s="17" t="s">
        <v>151</v>
      </c>
      <c r="J629" s="17" t="s">
        <v>152</v>
      </c>
      <c r="K629" s="17" t="n">
        <v>39</v>
      </c>
      <c r="L629" s="17" t="s">
        <v>42</v>
      </c>
      <c r="M629" s="17" t="s">
        <v>32</v>
      </c>
      <c r="N629" s="19" t="n">
        <v>13.04</v>
      </c>
      <c r="O629" s="19" t="n">
        <v>508.56</v>
      </c>
      <c r="P629" s="17" t="s">
        <v>33</v>
      </c>
      <c r="Q629" s="20" t="n">
        <f aca="false">DATE(D629,C629,B629)</f>
        <v>44219</v>
      </c>
      <c r="R629" s="17" t="str">
        <f aca="false">IF(HOUR(E629)&lt;6,"Madrugada (0-5 h)",IF(HOUR(E629)&lt;12,"Mañana (6-11 h)",IF(HOUR(E629)&lt;18,"Tarde (12-17 h)","Noche (18-23 h)")))</f>
        <v>Tarde (12-17 h)</v>
      </c>
    </row>
    <row r="630" customFormat="false" ht="15" hidden="false" customHeight="false" outlineLevel="0" collapsed="false">
      <c r="A630" s="17" t="n">
        <v>1629</v>
      </c>
      <c r="B630" s="17" t="n">
        <v>2</v>
      </c>
      <c r="C630" s="17" t="n">
        <v>7</v>
      </c>
      <c r="D630" s="17" t="n">
        <v>2022</v>
      </c>
      <c r="E630" s="18" t="n">
        <v>0.647268518518519</v>
      </c>
      <c r="F630" s="17" t="n">
        <v>2253</v>
      </c>
      <c r="G630" s="17" t="s">
        <v>153</v>
      </c>
      <c r="H630" s="17" t="s">
        <v>154</v>
      </c>
      <c r="I630" s="17" t="s">
        <v>155</v>
      </c>
      <c r="J630" s="17" t="s">
        <v>155</v>
      </c>
      <c r="K630" s="17" t="n">
        <v>3</v>
      </c>
      <c r="L630" s="17" t="s">
        <v>42</v>
      </c>
      <c r="M630" s="17" t="s">
        <v>32</v>
      </c>
      <c r="N630" s="19" t="n">
        <v>9.31</v>
      </c>
      <c r="O630" s="19" t="n">
        <v>27.93</v>
      </c>
      <c r="P630" s="17" t="s">
        <v>43</v>
      </c>
      <c r="Q630" s="20" t="n">
        <f aca="false">DATE(D630,C630,B630)</f>
        <v>44744</v>
      </c>
      <c r="R630" s="17" t="str">
        <f aca="false">IF(HOUR(E630)&lt;6,"Madrugada (0-5 h)",IF(HOUR(E630)&lt;12,"Mañana (6-11 h)",IF(HOUR(E630)&lt;18,"Tarde (12-17 h)","Noche (18-23 h)")))</f>
        <v>Tarde (12-17 h)</v>
      </c>
    </row>
    <row r="631" customFormat="false" ht="15" hidden="false" customHeight="false" outlineLevel="0" collapsed="false">
      <c r="A631" s="17" t="n">
        <v>1630</v>
      </c>
      <c r="B631" s="17" t="n">
        <v>15</v>
      </c>
      <c r="C631" s="17" t="n">
        <v>12</v>
      </c>
      <c r="D631" s="17" t="n">
        <v>2022</v>
      </c>
      <c r="E631" s="18" t="n">
        <v>0.0840856481481482</v>
      </c>
      <c r="F631" s="17" t="n">
        <v>4081</v>
      </c>
      <c r="G631" s="17" t="s">
        <v>156</v>
      </c>
      <c r="H631" s="17" t="s">
        <v>157</v>
      </c>
      <c r="I631" s="17" t="s">
        <v>158</v>
      </c>
      <c r="J631" s="17" t="s">
        <v>159</v>
      </c>
      <c r="K631" s="17" t="n">
        <v>21</v>
      </c>
      <c r="L631" s="17" t="s">
        <v>125</v>
      </c>
      <c r="M631" s="17" t="s">
        <v>82</v>
      </c>
      <c r="N631" s="19" t="n">
        <v>8.51</v>
      </c>
      <c r="O631" s="19" t="n">
        <v>178.71</v>
      </c>
      <c r="P631" s="17" t="s">
        <v>33</v>
      </c>
      <c r="Q631" s="20" t="n">
        <f aca="false">DATE(D631,C631,B631)</f>
        <v>44910</v>
      </c>
      <c r="R631" s="17" t="str">
        <f aca="false">IF(HOUR(E631)&lt;6,"Madrugada (0-5 h)",IF(HOUR(E631)&lt;12,"Mañana (6-11 h)",IF(HOUR(E631)&lt;18,"Tarde (12-17 h)","Noche (18-23 h)")))</f>
        <v>Madrugada (0-5 h)</v>
      </c>
    </row>
    <row r="632" customFormat="false" ht="15" hidden="false" customHeight="false" outlineLevel="0" collapsed="false">
      <c r="A632" s="17" t="n">
        <v>1631</v>
      </c>
      <c r="B632" s="17" t="n">
        <v>3</v>
      </c>
      <c r="C632" s="17" t="n">
        <v>11</v>
      </c>
      <c r="D632" s="17" t="n">
        <v>2022</v>
      </c>
      <c r="E632" s="18" t="n">
        <v>0.379155092592593</v>
      </c>
      <c r="F632" s="17" t="n">
        <v>3546</v>
      </c>
      <c r="G632" s="17" t="s">
        <v>160</v>
      </c>
      <c r="H632" s="17" t="s">
        <v>161</v>
      </c>
      <c r="I632" s="17" t="s">
        <v>162</v>
      </c>
      <c r="J632" s="17" t="s">
        <v>163</v>
      </c>
      <c r="K632" s="17" t="n">
        <v>13</v>
      </c>
      <c r="L632" s="17" t="s">
        <v>42</v>
      </c>
      <c r="M632" s="17" t="s">
        <v>76</v>
      </c>
      <c r="N632" s="19" t="n">
        <v>15.63</v>
      </c>
      <c r="O632" s="19" t="n">
        <v>203.19</v>
      </c>
      <c r="P632" s="17" t="s">
        <v>33</v>
      </c>
      <c r="Q632" s="20" t="n">
        <f aca="false">DATE(D632,C632,B632)</f>
        <v>44868</v>
      </c>
      <c r="R632" s="17" t="str">
        <f aca="false">IF(HOUR(E632)&lt;6,"Madrugada (0-5 h)",IF(HOUR(E632)&lt;12,"Mañana (6-11 h)",IF(HOUR(E632)&lt;18,"Tarde (12-17 h)","Noche (18-23 h)")))</f>
        <v>Mañana (6-11 h)</v>
      </c>
    </row>
    <row r="633" customFormat="false" ht="15" hidden="false" customHeight="false" outlineLevel="0" collapsed="false">
      <c r="A633" s="17" t="n">
        <v>1632</v>
      </c>
      <c r="B633" s="17" t="n">
        <v>18</v>
      </c>
      <c r="C633" s="17" t="n">
        <v>1</v>
      </c>
      <c r="D633" s="17" t="n">
        <v>2021</v>
      </c>
      <c r="E633" s="18" t="n">
        <v>0.15875</v>
      </c>
      <c r="F633" s="17" t="n">
        <v>1736</v>
      </c>
      <c r="G633" s="17" t="s">
        <v>164</v>
      </c>
      <c r="H633" s="17" t="s">
        <v>165</v>
      </c>
      <c r="I633" s="17" t="s">
        <v>166</v>
      </c>
      <c r="J633" s="17" t="s">
        <v>167</v>
      </c>
      <c r="K633" s="17" t="n">
        <v>49</v>
      </c>
      <c r="L633" s="17" t="s">
        <v>81</v>
      </c>
      <c r="M633" s="17" t="s">
        <v>82</v>
      </c>
      <c r="N633" s="19" t="n">
        <v>6.99</v>
      </c>
      <c r="O633" s="19" t="n">
        <v>342.51</v>
      </c>
      <c r="P633" s="17" t="s">
        <v>33</v>
      </c>
      <c r="Q633" s="20" t="n">
        <f aca="false">DATE(D633,C633,B633)</f>
        <v>44214</v>
      </c>
      <c r="R633" s="17" t="str">
        <f aca="false">IF(HOUR(E633)&lt;6,"Madrugada (0-5 h)",IF(HOUR(E633)&lt;12,"Mañana (6-11 h)",IF(HOUR(E633)&lt;18,"Tarde (12-17 h)","Noche (18-23 h)")))</f>
        <v>Madrugada (0-5 h)</v>
      </c>
    </row>
    <row r="634" customFormat="false" ht="15" hidden="false" customHeight="false" outlineLevel="0" collapsed="false">
      <c r="A634" s="17" t="n">
        <v>1633</v>
      </c>
      <c r="B634" s="17" t="n">
        <v>3</v>
      </c>
      <c r="C634" s="17" t="n">
        <v>8</v>
      </c>
      <c r="D634" s="17" t="n">
        <v>2022</v>
      </c>
      <c r="E634" s="18" t="n">
        <v>0.137546296296296</v>
      </c>
      <c r="F634" s="17" t="n">
        <v>4239</v>
      </c>
      <c r="G634" s="17" t="s">
        <v>168</v>
      </c>
      <c r="H634" s="17" t="s">
        <v>169</v>
      </c>
      <c r="I634" s="17" t="s">
        <v>170</v>
      </c>
      <c r="J634" s="17" t="s">
        <v>171</v>
      </c>
      <c r="K634" s="17" t="n">
        <v>36</v>
      </c>
      <c r="L634" s="17" t="s">
        <v>31</v>
      </c>
      <c r="M634" s="17" t="s">
        <v>76</v>
      </c>
      <c r="N634" s="19" t="n">
        <v>6.84</v>
      </c>
      <c r="O634" s="19" t="n">
        <v>246.24</v>
      </c>
      <c r="P634" s="17" t="s">
        <v>33</v>
      </c>
      <c r="Q634" s="20" t="n">
        <f aca="false">DATE(D634,C634,B634)</f>
        <v>44776</v>
      </c>
      <c r="R634" s="17" t="str">
        <f aca="false">IF(HOUR(E634)&lt;6,"Madrugada (0-5 h)",IF(HOUR(E634)&lt;12,"Mañana (6-11 h)",IF(HOUR(E634)&lt;18,"Tarde (12-17 h)","Noche (18-23 h)")))</f>
        <v>Madrugada (0-5 h)</v>
      </c>
    </row>
    <row r="635" customFormat="false" ht="15" hidden="false" customHeight="false" outlineLevel="0" collapsed="false">
      <c r="A635" s="17" t="n">
        <v>1634</v>
      </c>
      <c r="B635" s="17" t="n">
        <v>3</v>
      </c>
      <c r="C635" s="17" t="n">
        <v>8</v>
      </c>
      <c r="D635" s="17" t="n">
        <v>2021</v>
      </c>
      <c r="E635" s="18" t="n">
        <v>0.544965277777778</v>
      </c>
      <c r="F635" s="17" t="n">
        <v>2149</v>
      </c>
      <c r="G635" s="17" t="s">
        <v>172</v>
      </c>
      <c r="H635" s="17" t="s">
        <v>173</v>
      </c>
      <c r="I635" s="17" t="s">
        <v>174</v>
      </c>
      <c r="J635" s="17" t="s">
        <v>175</v>
      </c>
      <c r="K635" s="17" t="n">
        <v>28</v>
      </c>
      <c r="L635" s="17" t="s">
        <v>31</v>
      </c>
      <c r="M635" s="17" t="s">
        <v>76</v>
      </c>
      <c r="N635" s="19" t="n">
        <v>5.5</v>
      </c>
      <c r="O635" s="19" t="n">
        <v>154</v>
      </c>
      <c r="P635" s="17" t="s">
        <v>33</v>
      </c>
      <c r="Q635" s="20" t="n">
        <f aca="false">DATE(D635,C635,B635)</f>
        <v>44411</v>
      </c>
      <c r="R635" s="17" t="str">
        <f aca="false">IF(HOUR(E635)&lt;6,"Madrugada (0-5 h)",IF(HOUR(E635)&lt;12,"Mañana (6-11 h)",IF(HOUR(E635)&lt;18,"Tarde (12-17 h)","Noche (18-23 h)")))</f>
        <v>Tarde (12-17 h)</v>
      </c>
    </row>
    <row r="636" customFormat="false" ht="15" hidden="false" customHeight="false" outlineLevel="0" collapsed="false">
      <c r="A636" s="17" t="n">
        <v>1635</v>
      </c>
      <c r="B636" s="17" t="n">
        <v>22</v>
      </c>
      <c r="C636" s="17" t="n">
        <v>11</v>
      </c>
      <c r="D636" s="17" t="n">
        <v>2022</v>
      </c>
      <c r="E636" s="18" t="n">
        <v>0.0712037037037037</v>
      </c>
      <c r="F636" s="17" t="n">
        <v>3665</v>
      </c>
      <c r="G636" s="17" t="s">
        <v>176</v>
      </c>
      <c r="H636" s="17" t="s">
        <v>177</v>
      </c>
      <c r="I636" s="17" t="s">
        <v>178</v>
      </c>
      <c r="J636" s="17" t="s">
        <v>179</v>
      </c>
      <c r="K636" s="17" t="n">
        <v>40</v>
      </c>
      <c r="L636" s="17" t="s">
        <v>31</v>
      </c>
      <c r="M636" s="17" t="s">
        <v>76</v>
      </c>
      <c r="N636" s="19" t="n">
        <v>9.56</v>
      </c>
      <c r="O636" s="19" t="n">
        <v>382.4</v>
      </c>
      <c r="P636" s="17" t="s">
        <v>33</v>
      </c>
      <c r="Q636" s="20" t="n">
        <f aca="false">DATE(D636,C636,B636)</f>
        <v>44887</v>
      </c>
      <c r="R636" s="17" t="str">
        <f aca="false">IF(HOUR(E636)&lt;6,"Madrugada (0-5 h)",IF(HOUR(E636)&lt;12,"Mañana (6-11 h)",IF(HOUR(E636)&lt;18,"Tarde (12-17 h)","Noche (18-23 h)")))</f>
        <v>Madrugada (0-5 h)</v>
      </c>
    </row>
    <row r="637" customFormat="false" ht="15" hidden="false" customHeight="false" outlineLevel="0" collapsed="false">
      <c r="A637" s="17" t="n">
        <v>1636</v>
      </c>
      <c r="B637" s="17" t="n">
        <v>25</v>
      </c>
      <c r="C637" s="17" t="n">
        <v>7</v>
      </c>
      <c r="D637" s="17" t="n">
        <v>2021</v>
      </c>
      <c r="E637" s="18" t="n">
        <v>0.491759259259259</v>
      </c>
      <c r="F637" s="17" t="n">
        <v>4657</v>
      </c>
      <c r="G637" s="17" t="s">
        <v>180</v>
      </c>
      <c r="H637" s="17" t="s">
        <v>181</v>
      </c>
      <c r="I637" s="17" t="s">
        <v>182</v>
      </c>
      <c r="J637" s="17" t="s">
        <v>183</v>
      </c>
      <c r="K637" s="17" t="n">
        <v>15</v>
      </c>
      <c r="L637" s="17" t="s">
        <v>31</v>
      </c>
      <c r="M637" s="17" t="s">
        <v>32</v>
      </c>
      <c r="N637" s="19" t="n">
        <v>3.43</v>
      </c>
      <c r="O637" s="19" t="n">
        <v>51.45</v>
      </c>
      <c r="P637" s="17" t="s">
        <v>33</v>
      </c>
      <c r="Q637" s="20" t="n">
        <f aca="false">DATE(D637,C637,B637)</f>
        <v>44402</v>
      </c>
      <c r="R637" s="17" t="str">
        <f aca="false">IF(HOUR(E637)&lt;6,"Madrugada (0-5 h)",IF(HOUR(E637)&lt;12,"Mañana (6-11 h)",IF(HOUR(E637)&lt;18,"Tarde (12-17 h)","Noche (18-23 h)")))</f>
        <v>Mañana (6-11 h)</v>
      </c>
    </row>
    <row r="638" customFormat="false" ht="15" hidden="false" customHeight="false" outlineLevel="0" collapsed="false">
      <c r="A638" s="17" t="n">
        <v>1637</v>
      </c>
      <c r="B638" s="17" t="n">
        <v>22</v>
      </c>
      <c r="C638" s="17" t="n">
        <v>11</v>
      </c>
      <c r="D638" s="17" t="n">
        <v>2021</v>
      </c>
      <c r="E638" s="18" t="n">
        <v>0.4684375</v>
      </c>
      <c r="F638" s="17" t="n">
        <v>2579</v>
      </c>
      <c r="G638" s="17" t="s">
        <v>184</v>
      </c>
      <c r="H638" s="17" t="s">
        <v>185</v>
      </c>
      <c r="I638" s="17" t="s">
        <v>186</v>
      </c>
      <c r="J638" s="17" t="s">
        <v>187</v>
      </c>
      <c r="K638" s="17" t="n">
        <v>7</v>
      </c>
      <c r="L638" s="17" t="s">
        <v>81</v>
      </c>
      <c r="M638" s="17" t="s">
        <v>82</v>
      </c>
      <c r="N638" s="19" t="n">
        <v>1.23</v>
      </c>
      <c r="O638" s="19" t="n">
        <v>8.61</v>
      </c>
      <c r="P638" s="17" t="s">
        <v>33</v>
      </c>
      <c r="Q638" s="20" t="n">
        <f aca="false">DATE(D638,C638,B638)</f>
        <v>44522</v>
      </c>
      <c r="R638" s="17" t="str">
        <f aca="false">IF(HOUR(E638)&lt;6,"Madrugada (0-5 h)",IF(HOUR(E638)&lt;12,"Mañana (6-11 h)",IF(HOUR(E638)&lt;18,"Tarde (12-17 h)","Noche (18-23 h)")))</f>
        <v>Mañana (6-11 h)</v>
      </c>
    </row>
    <row r="639" customFormat="false" ht="15" hidden="false" customHeight="false" outlineLevel="0" collapsed="false">
      <c r="A639" s="17" t="n">
        <v>1638</v>
      </c>
      <c r="B639" s="17" t="n">
        <v>9</v>
      </c>
      <c r="C639" s="17" t="n">
        <v>6</v>
      </c>
      <c r="D639" s="17" t="n">
        <v>2021</v>
      </c>
      <c r="E639" s="18" t="n">
        <v>0.794583333333333</v>
      </c>
      <c r="F639" s="17" t="n">
        <v>4759</v>
      </c>
      <c r="G639" s="17" t="s">
        <v>188</v>
      </c>
      <c r="H639" s="17" t="s">
        <v>189</v>
      </c>
      <c r="I639" s="17" t="s">
        <v>190</v>
      </c>
      <c r="J639" s="17" t="s">
        <v>191</v>
      </c>
      <c r="K639" s="17" t="n">
        <v>40</v>
      </c>
      <c r="L639" s="17" t="s">
        <v>125</v>
      </c>
      <c r="M639" s="17" t="s">
        <v>76</v>
      </c>
      <c r="N639" s="19" t="n">
        <v>13.55</v>
      </c>
      <c r="O639" s="19" t="n">
        <v>542</v>
      </c>
      <c r="P639" s="17" t="s">
        <v>33</v>
      </c>
      <c r="Q639" s="20" t="n">
        <f aca="false">DATE(D639,C639,B639)</f>
        <v>44356</v>
      </c>
      <c r="R639" s="17" t="str">
        <f aca="false">IF(HOUR(E639)&lt;6,"Madrugada (0-5 h)",IF(HOUR(E639)&lt;12,"Mañana (6-11 h)",IF(HOUR(E639)&lt;18,"Tarde (12-17 h)","Noche (18-23 h)")))</f>
        <v>Noche (18-23 h)</v>
      </c>
    </row>
    <row r="640" customFormat="false" ht="15" hidden="false" customHeight="false" outlineLevel="0" collapsed="false">
      <c r="A640" s="17" t="n">
        <v>1639</v>
      </c>
      <c r="B640" s="17" t="n">
        <v>9</v>
      </c>
      <c r="C640" s="17" t="n">
        <v>12</v>
      </c>
      <c r="D640" s="17" t="n">
        <v>2022</v>
      </c>
      <c r="E640" s="18" t="n">
        <v>0.51412037037037</v>
      </c>
      <c r="F640" s="17" t="n">
        <v>1449</v>
      </c>
      <c r="G640" s="17" t="s">
        <v>192</v>
      </c>
      <c r="H640" s="17" t="s">
        <v>193</v>
      </c>
      <c r="I640" s="17" t="s">
        <v>194</v>
      </c>
      <c r="J640" s="17" t="s">
        <v>195</v>
      </c>
      <c r="K640" s="17" t="n">
        <v>43</v>
      </c>
      <c r="L640" s="17" t="s">
        <v>31</v>
      </c>
      <c r="M640" s="17" t="s">
        <v>82</v>
      </c>
      <c r="N640" s="19" t="n">
        <v>6.78</v>
      </c>
      <c r="O640" s="19" t="n">
        <v>291.54</v>
      </c>
      <c r="P640" s="17" t="s">
        <v>33</v>
      </c>
      <c r="Q640" s="20" t="n">
        <f aca="false">DATE(D640,C640,B640)</f>
        <v>44904</v>
      </c>
      <c r="R640" s="17" t="str">
        <f aca="false">IF(HOUR(E640)&lt;6,"Madrugada (0-5 h)",IF(HOUR(E640)&lt;12,"Mañana (6-11 h)",IF(HOUR(E640)&lt;18,"Tarde (12-17 h)","Noche (18-23 h)")))</f>
        <v>Tarde (12-17 h)</v>
      </c>
    </row>
    <row r="641" customFormat="false" ht="15" hidden="false" customHeight="false" outlineLevel="0" collapsed="false">
      <c r="A641" s="17" t="n">
        <v>1640</v>
      </c>
      <c r="B641" s="17" t="n">
        <v>22</v>
      </c>
      <c r="C641" s="17" t="n">
        <v>8</v>
      </c>
      <c r="D641" s="17" t="n">
        <v>2022</v>
      </c>
      <c r="E641" s="18" t="n">
        <v>0.488391203703704</v>
      </c>
      <c r="F641" s="17" t="n">
        <v>3701</v>
      </c>
      <c r="G641" s="17" t="s">
        <v>196</v>
      </c>
      <c r="H641" s="17" t="s">
        <v>197</v>
      </c>
      <c r="I641" s="17" t="s">
        <v>198</v>
      </c>
      <c r="J641" s="17" t="s">
        <v>199</v>
      </c>
      <c r="K641" s="17" t="n">
        <v>35</v>
      </c>
      <c r="L641" s="17" t="s">
        <v>31</v>
      </c>
      <c r="M641" s="17" t="s">
        <v>32</v>
      </c>
      <c r="N641" s="19" t="n">
        <v>8.02</v>
      </c>
      <c r="O641" s="19" t="n">
        <v>280.7</v>
      </c>
      <c r="P641" s="17" t="s">
        <v>33</v>
      </c>
      <c r="Q641" s="20" t="n">
        <f aca="false">DATE(D641,C641,B641)</f>
        <v>44795</v>
      </c>
      <c r="R641" s="17" t="str">
        <f aca="false">IF(HOUR(E641)&lt;6,"Madrugada (0-5 h)",IF(HOUR(E641)&lt;12,"Mañana (6-11 h)",IF(HOUR(E641)&lt;18,"Tarde (12-17 h)","Noche (18-23 h)")))</f>
        <v>Mañana (6-11 h)</v>
      </c>
    </row>
    <row r="642" customFormat="false" ht="15" hidden="false" customHeight="false" outlineLevel="0" collapsed="false">
      <c r="A642" s="17" t="n">
        <v>1641</v>
      </c>
      <c r="B642" s="17" t="n">
        <v>17</v>
      </c>
      <c r="C642" s="17" t="n">
        <v>9</v>
      </c>
      <c r="D642" s="17" t="n">
        <v>2022</v>
      </c>
      <c r="E642" s="18" t="n">
        <v>0.522893518518519</v>
      </c>
      <c r="F642" s="17" t="n">
        <v>4686</v>
      </c>
      <c r="G642" s="17" t="s">
        <v>200</v>
      </c>
      <c r="H642" s="17" t="s">
        <v>201</v>
      </c>
      <c r="I642" s="17" t="s">
        <v>113</v>
      </c>
      <c r="J642" s="17" t="s">
        <v>202</v>
      </c>
      <c r="K642" s="17" t="n">
        <v>17</v>
      </c>
      <c r="L642" s="17" t="s">
        <v>31</v>
      </c>
      <c r="M642" s="17" t="s">
        <v>32</v>
      </c>
      <c r="N642" s="19" t="n">
        <v>7.76</v>
      </c>
      <c r="O642" s="19" t="n">
        <v>131.92</v>
      </c>
      <c r="P642" s="17" t="s">
        <v>33</v>
      </c>
      <c r="Q642" s="20" t="n">
        <f aca="false">DATE(D642,C642,B642)</f>
        <v>44821</v>
      </c>
      <c r="R642" s="17" t="str">
        <f aca="false">IF(HOUR(E642)&lt;6,"Madrugada (0-5 h)",IF(HOUR(E642)&lt;12,"Mañana (6-11 h)",IF(HOUR(E642)&lt;18,"Tarde (12-17 h)","Noche (18-23 h)")))</f>
        <v>Tarde (12-17 h)</v>
      </c>
    </row>
    <row r="643" customFormat="false" ht="15" hidden="false" customHeight="false" outlineLevel="0" collapsed="false">
      <c r="A643" s="17" t="n">
        <v>1642</v>
      </c>
      <c r="B643" s="17" t="n">
        <v>23</v>
      </c>
      <c r="C643" s="17" t="n">
        <v>6</v>
      </c>
      <c r="D643" s="17" t="n">
        <v>2022</v>
      </c>
      <c r="E643" s="18" t="n">
        <v>0.0244675925925926</v>
      </c>
      <c r="F643" s="17" t="n">
        <v>3934</v>
      </c>
      <c r="G643" s="17" t="s">
        <v>203</v>
      </c>
      <c r="H643" s="17" t="s">
        <v>459</v>
      </c>
      <c r="I643" s="17" t="s">
        <v>205</v>
      </c>
      <c r="J643" s="17" t="s">
        <v>206</v>
      </c>
      <c r="K643" s="17" t="n">
        <v>13</v>
      </c>
      <c r="L643" s="17" t="s">
        <v>42</v>
      </c>
      <c r="M643" s="17" t="s">
        <v>32</v>
      </c>
      <c r="N643" s="19" t="n">
        <v>8.87</v>
      </c>
      <c r="O643" s="19" t="n">
        <v>115.31</v>
      </c>
      <c r="P643" s="17" t="s">
        <v>33</v>
      </c>
      <c r="Q643" s="20" t="n">
        <f aca="false">DATE(D643,C643,B643)</f>
        <v>44735</v>
      </c>
      <c r="R643" s="17" t="str">
        <f aca="false">IF(HOUR(E643)&lt;6,"Madrugada (0-5 h)",IF(HOUR(E643)&lt;12,"Mañana (6-11 h)",IF(HOUR(E643)&lt;18,"Tarde (12-17 h)","Noche (18-23 h)")))</f>
        <v>Madrugada (0-5 h)</v>
      </c>
    </row>
    <row r="644" customFormat="false" ht="15" hidden="false" customHeight="false" outlineLevel="0" collapsed="false">
      <c r="A644" s="17" t="n">
        <v>1643</v>
      </c>
      <c r="B644" s="17" t="n">
        <v>19</v>
      </c>
      <c r="C644" s="17" t="n">
        <v>11</v>
      </c>
      <c r="D644" s="17" t="n">
        <v>2022</v>
      </c>
      <c r="E644" s="18" t="n">
        <v>0.69775462962963</v>
      </c>
      <c r="F644" s="17" t="n">
        <v>4590</v>
      </c>
      <c r="G644" s="17" t="s">
        <v>207</v>
      </c>
      <c r="H644" s="17" t="s">
        <v>208</v>
      </c>
      <c r="I644" s="17" t="s">
        <v>209</v>
      </c>
      <c r="J644" s="17" t="s">
        <v>210</v>
      </c>
      <c r="K644" s="17" t="n">
        <v>46</v>
      </c>
      <c r="L644" s="17" t="s">
        <v>31</v>
      </c>
      <c r="M644" s="17" t="s">
        <v>32</v>
      </c>
      <c r="N644" s="19" t="n">
        <v>4.5</v>
      </c>
      <c r="O644" s="19" t="n">
        <v>207</v>
      </c>
      <c r="P644" s="17" t="s">
        <v>33</v>
      </c>
      <c r="Q644" s="20" t="n">
        <f aca="false">DATE(D644,C644,B644)</f>
        <v>44884</v>
      </c>
      <c r="R644" s="17" t="str">
        <f aca="false">IF(HOUR(E644)&lt;6,"Madrugada (0-5 h)",IF(HOUR(E644)&lt;12,"Mañana (6-11 h)",IF(HOUR(E644)&lt;18,"Tarde (12-17 h)","Noche (18-23 h)")))</f>
        <v>Tarde (12-17 h)</v>
      </c>
    </row>
    <row r="645" customFormat="false" ht="15" hidden="false" customHeight="false" outlineLevel="0" collapsed="false">
      <c r="A645" s="17" t="n">
        <v>1644</v>
      </c>
      <c r="B645" s="17" t="n">
        <v>8</v>
      </c>
      <c r="C645" s="17" t="n">
        <v>6</v>
      </c>
      <c r="D645" s="17" t="n">
        <v>2022</v>
      </c>
      <c r="E645" s="18" t="n">
        <v>0.852546296296296</v>
      </c>
      <c r="F645" s="17" t="n">
        <v>1605</v>
      </c>
      <c r="G645" s="17" t="s">
        <v>211</v>
      </c>
      <c r="H645" s="17" t="s">
        <v>212</v>
      </c>
      <c r="I645" s="17" t="s">
        <v>213</v>
      </c>
      <c r="J645" s="17" t="s">
        <v>214</v>
      </c>
      <c r="K645" s="17" t="n">
        <v>19</v>
      </c>
      <c r="L645" s="17" t="s">
        <v>31</v>
      </c>
      <c r="M645" s="17" t="s">
        <v>32</v>
      </c>
      <c r="N645" s="19" t="n">
        <v>8.98</v>
      </c>
      <c r="O645" s="19" t="n">
        <v>170.62</v>
      </c>
      <c r="P645" s="17" t="s">
        <v>33</v>
      </c>
      <c r="Q645" s="20" t="n">
        <f aca="false">DATE(D645,C645,B645)</f>
        <v>44720</v>
      </c>
      <c r="R645" s="17" t="str">
        <f aca="false">IF(HOUR(E645)&lt;6,"Madrugada (0-5 h)",IF(HOUR(E645)&lt;12,"Mañana (6-11 h)",IF(HOUR(E645)&lt;18,"Tarde (12-17 h)","Noche (18-23 h)")))</f>
        <v>Noche (18-23 h)</v>
      </c>
    </row>
    <row r="646" customFormat="false" ht="15" hidden="false" customHeight="false" outlineLevel="0" collapsed="false">
      <c r="A646" s="17" t="n">
        <v>1645</v>
      </c>
      <c r="B646" s="17" t="n">
        <v>21</v>
      </c>
      <c r="C646" s="17" t="n">
        <v>9</v>
      </c>
      <c r="D646" s="17" t="n">
        <v>2022</v>
      </c>
      <c r="E646" s="18" t="n">
        <v>0.389386574074074</v>
      </c>
      <c r="F646" s="17" t="n">
        <v>2151</v>
      </c>
      <c r="G646" s="17" t="s">
        <v>215</v>
      </c>
      <c r="H646" s="17" t="s">
        <v>197</v>
      </c>
      <c r="I646" s="17" t="s">
        <v>198</v>
      </c>
      <c r="J646" s="17" t="s">
        <v>199</v>
      </c>
      <c r="K646" s="17" t="n">
        <v>32</v>
      </c>
      <c r="L646" s="17" t="s">
        <v>31</v>
      </c>
      <c r="M646" s="17" t="s">
        <v>32</v>
      </c>
      <c r="N646" s="19" t="n">
        <v>5.87</v>
      </c>
      <c r="O646" s="19" t="n">
        <v>187.84</v>
      </c>
      <c r="P646" s="17" t="s">
        <v>33</v>
      </c>
      <c r="Q646" s="20" t="n">
        <f aca="false">DATE(D646,C646,B646)</f>
        <v>44825</v>
      </c>
      <c r="R646" s="17" t="str">
        <f aca="false">IF(HOUR(E646)&lt;6,"Madrugada (0-5 h)",IF(HOUR(E646)&lt;12,"Mañana (6-11 h)",IF(HOUR(E646)&lt;18,"Tarde (12-17 h)","Noche (18-23 h)")))</f>
        <v>Mañana (6-11 h)</v>
      </c>
    </row>
    <row r="647" customFormat="false" ht="15" hidden="false" customHeight="false" outlineLevel="0" collapsed="false">
      <c r="A647" s="17" t="n">
        <v>1646</v>
      </c>
      <c r="B647" s="17" t="n">
        <v>10</v>
      </c>
      <c r="C647" s="17" t="n">
        <v>6</v>
      </c>
      <c r="D647" s="17" t="n">
        <v>2021</v>
      </c>
      <c r="E647" s="18" t="n">
        <v>0.524710648148148</v>
      </c>
      <c r="F647" s="17" t="n">
        <v>2728</v>
      </c>
      <c r="G647" s="17" t="s">
        <v>216</v>
      </c>
      <c r="H647" s="17" t="s">
        <v>217</v>
      </c>
      <c r="I647" s="17" t="s">
        <v>218</v>
      </c>
      <c r="J647" s="17" t="s">
        <v>219</v>
      </c>
      <c r="K647" s="17" t="n">
        <v>9</v>
      </c>
      <c r="L647" s="17" t="s">
        <v>98</v>
      </c>
      <c r="M647" s="17" t="s">
        <v>62</v>
      </c>
      <c r="N647" s="19" t="n">
        <v>2.31</v>
      </c>
      <c r="O647" s="19" t="n">
        <v>20.79</v>
      </c>
      <c r="P647" s="17" t="s">
        <v>33</v>
      </c>
      <c r="Q647" s="20" t="n">
        <f aca="false">DATE(D647,C647,B647)</f>
        <v>44357</v>
      </c>
      <c r="R647" s="17" t="str">
        <f aca="false">IF(HOUR(E647)&lt;6,"Madrugada (0-5 h)",IF(HOUR(E647)&lt;12,"Mañana (6-11 h)",IF(HOUR(E647)&lt;18,"Tarde (12-17 h)","Noche (18-23 h)")))</f>
        <v>Tarde (12-17 h)</v>
      </c>
    </row>
    <row r="648" customFormat="false" ht="15" hidden="false" customHeight="false" outlineLevel="0" collapsed="false">
      <c r="A648" s="17" t="n">
        <v>1647</v>
      </c>
      <c r="B648" s="17" t="n">
        <v>7</v>
      </c>
      <c r="C648" s="17" t="n">
        <v>7</v>
      </c>
      <c r="D648" s="17" t="n">
        <v>2022</v>
      </c>
      <c r="E648" s="18" t="n">
        <v>0.598900462962963</v>
      </c>
      <c r="F648" s="17" t="n">
        <v>4083</v>
      </c>
      <c r="G648" s="17" t="s">
        <v>220</v>
      </c>
      <c r="H648" s="17" t="s">
        <v>221</v>
      </c>
      <c r="I648" s="17" t="s">
        <v>222</v>
      </c>
      <c r="J648" s="17" t="s">
        <v>223</v>
      </c>
      <c r="K648" s="17" t="n">
        <v>20</v>
      </c>
      <c r="L648" s="17" t="s">
        <v>31</v>
      </c>
      <c r="M648" s="17" t="s">
        <v>32</v>
      </c>
      <c r="N648" s="19" t="n">
        <v>6.53</v>
      </c>
      <c r="O648" s="19" t="n">
        <v>130.6</v>
      </c>
      <c r="P648" s="17" t="s">
        <v>33</v>
      </c>
      <c r="Q648" s="20" t="n">
        <f aca="false">DATE(D648,C648,B648)</f>
        <v>44749</v>
      </c>
      <c r="R648" s="17" t="str">
        <f aca="false">IF(HOUR(E648)&lt;6,"Madrugada (0-5 h)",IF(HOUR(E648)&lt;12,"Mañana (6-11 h)",IF(HOUR(E648)&lt;18,"Tarde (12-17 h)","Noche (18-23 h)")))</f>
        <v>Tarde (12-17 h)</v>
      </c>
    </row>
    <row r="649" customFormat="false" ht="15" hidden="false" customHeight="false" outlineLevel="0" collapsed="false">
      <c r="A649" s="17" t="n">
        <v>1648</v>
      </c>
      <c r="B649" s="17" t="n">
        <v>27</v>
      </c>
      <c r="C649" s="17" t="n">
        <v>7</v>
      </c>
      <c r="D649" s="17" t="n">
        <v>2022</v>
      </c>
      <c r="E649" s="18" t="n">
        <v>0.59212962962963</v>
      </c>
      <c r="F649" s="17" t="n">
        <v>3799</v>
      </c>
      <c r="G649" s="17" t="s">
        <v>224</v>
      </c>
      <c r="H649" s="17" t="s">
        <v>225</v>
      </c>
      <c r="I649" s="17" t="s">
        <v>222</v>
      </c>
      <c r="J649" s="17" t="s">
        <v>223</v>
      </c>
      <c r="K649" s="17" t="n">
        <v>26</v>
      </c>
      <c r="L649" s="17" t="s">
        <v>31</v>
      </c>
      <c r="M649" s="17" t="s">
        <v>32</v>
      </c>
      <c r="N649" s="19" t="n">
        <v>2.45</v>
      </c>
      <c r="O649" s="19" t="n">
        <v>63.7</v>
      </c>
      <c r="P649" s="17" t="s">
        <v>33</v>
      </c>
      <c r="Q649" s="20" t="n">
        <f aca="false">DATE(D649,C649,B649)</f>
        <v>44769</v>
      </c>
      <c r="R649" s="17" t="str">
        <f aca="false">IF(HOUR(E649)&lt;6,"Madrugada (0-5 h)",IF(HOUR(E649)&lt;12,"Mañana (6-11 h)",IF(HOUR(E649)&lt;18,"Tarde (12-17 h)","Noche (18-23 h)")))</f>
        <v>Tarde (12-17 h)</v>
      </c>
    </row>
    <row r="650" customFormat="false" ht="15" hidden="false" customHeight="false" outlineLevel="0" collapsed="false">
      <c r="A650" s="17" t="n">
        <v>1649</v>
      </c>
      <c r="B650" s="17" t="n">
        <v>23</v>
      </c>
      <c r="C650" s="17" t="n">
        <v>2</v>
      </c>
      <c r="D650" s="17" t="n">
        <v>2022</v>
      </c>
      <c r="E650" s="18" t="n">
        <v>0.854895833333333</v>
      </c>
      <c r="F650" s="17" t="n">
        <v>4095</v>
      </c>
      <c r="G650" s="17" t="s">
        <v>226</v>
      </c>
      <c r="H650" s="17" t="s">
        <v>227</v>
      </c>
      <c r="I650" s="17" t="s">
        <v>228</v>
      </c>
      <c r="J650" s="17" t="s">
        <v>229</v>
      </c>
      <c r="K650" s="17" t="n">
        <v>22</v>
      </c>
      <c r="L650" s="17" t="s">
        <v>125</v>
      </c>
      <c r="M650" s="17" t="s">
        <v>76</v>
      </c>
      <c r="N650" s="19" t="n">
        <v>3.03</v>
      </c>
      <c r="O650" s="19" t="n">
        <v>66.66</v>
      </c>
      <c r="P650" s="17" t="s">
        <v>33</v>
      </c>
      <c r="Q650" s="20" t="n">
        <f aca="false">DATE(D650,C650,B650)</f>
        <v>44615</v>
      </c>
      <c r="R650" s="17" t="str">
        <f aca="false">IF(HOUR(E650)&lt;6,"Madrugada (0-5 h)",IF(HOUR(E650)&lt;12,"Mañana (6-11 h)",IF(HOUR(E650)&lt;18,"Tarde (12-17 h)","Noche (18-23 h)")))</f>
        <v>Noche (18-23 h)</v>
      </c>
    </row>
    <row r="651" customFormat="false" ht="15" hidden="false" customHeight="false" outlineLevel="0" collapsed="false">
      <c r="A651" s="17" t="n">
        <v>1650</v>
      </c>
      <c r="B651" s="17" t="n">
        <v>26</v>
      </c>
      <c r="C651" s="17" t="n">
        <v>10</v>
      </c>
      <c r="D651" s="17" t="n">
        <v>2021</v>
      </c>
      <c r="E651" s="18" t="n">
        <v>0.221053240740741</v>
      </c>
      <c r="F651" s="17" t="n">
        <v>4478</v>
      </c>
      <c r="G651" s="17" t="s">
        <v>230</v>
      </c>
      <c r="H651" s="17" t="s">
        <v>231</v>
      </c>
      <c r="I651" s="17" t="s">
        <v>232</v>
      </c>
      <c r="J651" s="17" t="s">
        <v>233</v>
      </c>
      <c r="K651" s="17" t="n">
        <v>47</v>
      </c>
      <c r="L651" s="17" t="s">
        <v>81</v>
      </c>
      <c r="M651" s="17" t="s">
        <v>76</v>
      </c>
      <c r="N651" s="19" t="n">
        <v>5.42</v>
      </c>
      <c r="O651" s="19" t="n">
        <v>254.74</v>
      </c>
      <c r="P651" s="17" t="s">
        <v>33</v>
      </c>
      <c r="Q651" s="20" t="n">
        <f aca="false">DATE(D651,C651,B651)</f>
        <v>44495</v>
      </c>
      <c r="R651" s="17" t="str">
        <f aca="false">IF(HOUR(E651)&lt;6,"Madrugada (0-5 h)",IF(HOUR(E651)&lt;12,"Mañana (6-11 h)",IF(HOUR(E651)&lt;18,"Tarde (12-17 h)","Noche (18-23 h)")))</f>
        <v>Madrugada (0-5 h)</v>
      </c>
    </row>
    <row r="652" customFormat="false" ht="15" hidden="false" customHeight="false" outlineLevel="0" collapsed="false">
      <c r="A652" s="17" t="n">
        <v>1651</v>
      </c>
      <c r="B652" s="17" t="n">
        <v>9</v>
      </c>
      <c r="C652" s="17" t="n">
        <v>2</v>
      </c>
      <c r="D652" s="17" t="n">
        <v>2021</v>
      </c>
      <c r="E652" s="18" t="n">
        <v>0.897858796296296</v>
      </c>
      <c r="F652" s="17" t="n">
        <v>3896</v>
      </c>
      <c r="G652" s="17" t="s">
        <v>234</v>
      </c>
      <c r="H652" s="17" t="s">
        <v>235</v>
      </c>
      <c r="I652" s="17" t="s">
        <v>236</v>
      </c>
      <c r="J652" s="17" t="s">
        <v>237</v>
      </c>
      <c r="K652" s="17" t="n">
        <v>1</v>
      </c>
      <c r="L652" s="17" t="s">
        <v>81</v>
      </c>
      <c r="M652" s="17" t="s">
        <v>82</v>
      </c>
      <c r="N652" s="19" t="n">
        <v>25.45</v>
      </c>
      <c r="O652" s="19" t="n">
        <v>25.45</v>
      </c>
      <c r="P652" s="17" t="s">
        <v>33</v>
      </c>
      <c r="Q652" s="20" t="n">
        <f aca="false">DATE(D652,C652,B652)</f>
        <v>44236</v>
      </c>
      <c r="R652" s="17" t="str">
        <f aca="false">IF(HOUR(E652)&lt;6,"Madrugada (0-5 h)",IF(HOUR(E652)&lt;12,"Mañana (6-11 h)",IF(HOUR(E652)&lt;18,"Tarde (12-17 h)","Noche (18-23 h)")))</f>
        <v>Noche (18-23 h)</v>
      </c>
    </row>
    <row r="653" customFormat="false" ht="15" hidden="false" customHeight="false" outlineLevel="0" collapsed="false">
      <c r="A653" s="17" t="n">
        <v>1652</v>
      </c>
      <c r="B653" s="17" t="n">
        <v>4</v>
      </c>
      <c r="C653" s="17" t="n">
        <v>7</v>
      </c>
      <c r="D653" s="17" t="n">
        <v>2022</v>
      </c>
      <c r="E653" s="18" t="n">
        <v>0.97537037037037</v>
      </c>
      <c r="F653" s="17" t="n">
        <v>3525</v>
      </c>
      <c r="G653" s="17" t="s">
        <v>238</v>
      </c>
      <c r="H653" s="17" t="s">
        <v>239</v>
      </c>
      <c r="I653" s="17" t="s">
        <v>240</v>
      </c>
      <c r="J653" s="17" t="s">
        <v>241</v>
      </c>
      <c r="K653" s="17" t="n">
        <v>9</v>
      </c>
      <c r="L653" s="17" t="s">
        <v>81</v>
      </c>
      <c r="M653" s="17" t="s">
        <v>82</v>
      </c>
      <c r="N653" s="19" t="n">
        <v>18.05</v>
      </c>
      <c r="O653" s="19" t="n">
        <v>162.45</v>
      </c>
      <c r="P653" s="17" t="s">
        <v>33</v>
      </c>
      <c r="Q653" s="20" t="n">
        <f aca="false">DATE(D653,C653,B653)</f>
        <v>44746</v>
      </c>
      <c r="R653" s="17" t="str">
        <f aca="false">IF(HOUR(E653)&lt;6,"Madrugada (0-5 h)",IF(HOUR(E653)&lt;12,"Mañana (6-11 h)",IF(HOUR(E653)&lt;18,"Tarde (12-17 h)","Noche (18-23 h)")))</f>
        <v>Noche (18-23 h)</v>
      </c>
    </row>
    <row r="654" customFormat="false" ht="15" hidden="false" customHeight="false" outlineLevel="0" collapsed="false">
      <c r="A654" s="17" t="n">
        <v>1653</v>
      </c>
      <c r="B654" s="17" t="n">
        <v>1</v>
      </c>
      <c r="C654" s="17" t="n">
        <v>3</v>
      </c>
      <c r="D654" s="17" t="n">
        <v>2022</v>
      </c>
      <c r="E654" s="18" t="n">
        <v>0.935891203703704</v>
      </c>
      <c r="F654" s="17" t="n">
        <v>3287</v>
      </c>
      <c r="G654" s="17" t="s">
        <v>242</v>
      </c>
      <c r="H654" s="17" t="s">
        <v>243</v>
      </c>
      <c r="I654" s="17" t="s">
        <v>244</v>
      </c>
      <c r="J654" s="17" t="s">
        <v>245</v>
      </c>
      <c r="K654" s="17" t="n">
        <v>39</v>
      </c>
      <c r="L654" s="17" t="s">
        <v>81</v>
      </c>
      <c r="M654" s="17" t="s">
        <v>76</v>
      </c>
      <c r="N654" s="19" t="n">
        <v>5.38</v>
      </c>
      <c r="O654" s="19" t="n">
        <v>209.82</v>
      </c>
      <c r="P654" s="17" t="s">
        <v>33</v>
      </c>
      <c r="Q654" s="20" t="n">
        <f aca="false">DATE(D654,C654,B654)</f>
        <v>44621</v>
      </c>
      <c r="R654" s="17" t="str">
        <f aca="false">IF(HOUR(E654)&lt;6,"Madrugada (0-5 h)",IF(HOUR(E654)&lt;12,"Mañana (6-11 h)",IF(HOUR(E654)&lt;18,"Tarde (12-17 h)","Noche (18-23 h)")))</f>
        <v>Noche (18-23 h)</v>
      </c>
    </row>
    <row r="655" customFormat="false" ht="15" hidden="false" customHeight="false" outlineLevel="0" collapsed="false">
      <c r="A655" s="17" t="n">
        <v>1654</v>
      </c>
      <c r="B655" s="17" t="n">
        <v>1</v>
      </c>
      <c r="C655" s="17" t="n">
        <v>6</v>
      </c>
      <c r="D655" s="17" t="n">
        <v>2022</v>
      </c>
      <c r="E655" s="18" t="n">
        <v>0.995509259259259</v>
      </c>
      <c r="F655" s="17" t="n">
        <v>4106</v>
      </c>
      <c r="G655" s="17" t="s">
        <v>246</v>
      </c>
      <c r="H655" s="17" t="s">
        <v>460</v>
      </c>
      <c r="I655" s="17" t="s">
        <v>244</v>
      </c>
      <c r="J655" s="17" t="s">
        <v>248</v>
      </c>
      <c r="K655" s="17" t="n">
        <v>19</v>
      </c>
      <c r="L655" s="17" t="s">
        <v>81</v>
      </c>
      <c r="M655" s="17" t="s">
        <v>76</v>
      </c>
      <c r="N655" s="19" t="n">
        <v>9.89</v>
      </c>
      <c r="O655" s="19" t="n">
        <v>187.91</v>
      </c>
      <c r="P655" s="17" t="s">
        <v>33</v>
      </c>
      <c r="Q655" s="20" t="n">
        <f aca="false">DATE(D655,C655,B655)</f>
        <v>44713</v>
      </c>
      <c r="R655" s="17" t="str">
        <f aca="false">IF(HOUR(E655)&lt;6,"Madrugada (0-5 h)",IF(HOUR(E655)&lt;12,"Mañana (6-11 h)",IF(HOUR(E655)&lt;18,"Tarde (12-17 h)","Noche (18-23 h)")))</f>
        <v>Noche (18-23 h)</v>
      </c>
    </row>
    <row r="656" customFormat="false" ht="15" hidden="false" customHeight="false" outlineLevel="0" collapsed="false">
      <c r="A656" s="17" t="n">
        <v>1655</v>
      </c>
      <c r="B656" s="17" t="n">
        <v>6</v>
      </c>
      <c r="C656" s="17" t="n">
        <v>9</v>
      </c>
      <c r="D656" s="17" t="n">
        <v>2022</v>
      </c>
      <c r="E656" s="18" t="n">
        <v>0.0807638888888889</v>
      </c>
      <c r="F656" s="17" t="n">
        <v>3495</v>
      </c>
      <c r="G656" s="17" t="s">
        <v>249</v>
      </c>
      <c r="H656" s="17" t="s">
        <v>250</v>
      </c>
      <c r="I656" s="17" t="s">
        <v>251</v>
      </c>
      <c r="J656" s="17" t="s">
        <v>252</v>
      </c>
      <c r="K656" s="17" t="n">
        <v>20</v>
      </c>
      <c r="L656" s="17" t="s">
        <v>125</v>
      </c>
      <c r="M656" s="17" t="s">
        <v>82</v>
      </c>
      <c r="N656" s="19" t="n">
        <v>25.45</v>
      </c>
      <c r="O656" s="19" t="n">
        <v>509</v>
      </c>
      <c r="P656" s="17" t="s">
        <v>33</v>
      </c>
      <c r="Q656" s="20" t="n">
        <f aca="false">DATE(D656,C656,B656)</f>
        <v>44810</v>
      </c>
      <c r="R656" s="17" t="str">
        <f aca="false">IF(HOUR(E656)&lt;6,"Madrugada (0-5 h)",IF(HOUR(E656)&lt;12,"Mañana (6-11 h)",IF(HOUR(E656)&lt;18,"Tarde (12-17 h)","Noche (18-23 h)")))</f>
        <v>Madrugada (0-5 h)</v>
      </c>
    </row>
    <row r="657" customFormat="false" ht="15" hidden="false" customHeight="false" outlineLevel="0" collapsed="false">
      <c r="A657" s="17" t="n">
        <v>1656</v>
      </c>
      <c r="B657" s="17" t="n">
        <v>12</v>
      </c>
      <c r="C657" s="17" t="n">
        <v>9</v>
      </c>
      <c r="D657" s="17" t="n">
        <v>2021</v>
      </c>
      <c r="E657" s="18" t="n">
        <v>0.337280092592593</v>
      </c>
      <c r="F657" s="17" t="n">
        <v>1833</v>
      </c>
      <c r="G657" s="17" t="s">
        <v>253</v>
      </c>
      <c r="H657" s="17" t="s">
        <v>250</v>
      </c>
      <c r="I657" s="17" t="s">
        <v>254</v>
      </c>
      <c r="J657" s="17" t="s">
        <v>255</v>
      </c>
      <c r="K657" s="17" t="n">
        <v>1</v>
      </c>
      <c r="L657" s="17" t="s">
        <v>125</v>
      </c>
      <c r="M657" s="17" t="s">
        <v>82</v>
      </c>
      <c r="N657" s="19" t="n">
        <v>16.34</v>
      </c>
      <c r="O657" s="19" t="n">
        <v>16.34</v>
      </c>
      <c r="P657" s="17" t="s">
        <v>33</v>
      </c>
      <c r="Q657" s="20" t="n">
        <f aca="false">DATE(D657,C657,B657)</f>
        <v>44451</v>
      </c>
      <c r="R657" s="17" t="str">
        <f aca="false">IF(HOUR(E657)&lt;6,"Madrugada (0-5 h)",IF(HOUR(E657)&lt;12,"Mañana (6-11 h)",IF(HOUR(E657)&lt;18,"Tarde (12-17 h)","Noche (18-23 h)")))</f>
        <v>Mañana (6-11 h)</v>
      </c>
    </row>
    <row r="658" customFormat="false" ht="15" hidden="false" customHeight="false" outlineLevel="0" collapsed="false">
      <c r="A658" s="17" t="n">
        <v>1657</v>
      </c>
      <c r="B658" s="17" t="n">
        <v>6</v>
      </c>
      <c r="C658" s="17" t="n">
        <v>10</v>
      </c>
      <c r="D658" s="17" t="n">
        <v>2022</v>
      </c>
      <c r="E658" s="18" t="n">
        <v>0.271296296296296</v>
      </c>
      <c r="F658" s="17" t="n">
        <v>2348</v>
      </c>
      <c r="G658" s="17" t="s">
        <v>256</v>
      </c>
      <c r="H658" s="17" t="s">
        <v>257</v>
      </c>
      <c r="I658" s="17" t="s">
        <v>258</v>
      </c>
      <c r="J658" s="17" t="s">
        <v>259</v>
      </c>
      <c r="K658" s="17" t="n">
        <v>24</v>
      </c>
      <c r="L658" s="17" t="s">
        <v>125</v>
      </c>
      <c r="M658" s="17" t="s">
        <v>82</v>
      </c>
      <c r="N658" s="19" t="n">
        <v>13.32</v>
      </c>
      <c r="O658" s="19" t="n">
        <v>319.68</v>
      </c>
      <c r="P658" s="17" t="s">
        <v>33</v>
      </c>
      <c r="Q658" s="20" t="n">
        <f aca="false">DATE(D658,C658,B658)</f>
        <v>44840</v>
      </c>
      <c r="R658" s="17" t="str">
        <f aca="false">IF(HOUR(E658)&lt;6,"Madrugada (0-5 h)",IF(HOUR(E658)&lt;12,"Mañana (6-11 h)",IF(HOUR(E658)&lt;18,"Tarde (12-17 h)","Noche (18-23 h)")))</f>
        <v>Mañana (6-11 h)</v>
      </c>
    </row>
    <row r="659" customFormat="false" ht="15" hidden="false" customHeight="false" outlineLevel="0" collapsed="false">
      <c r="A659" s="17" t="n">
        <v>1658</v>
      </c>
      <c r="B659" s="17" t="n">
        <v>22</v>
      </c>
      <c r="C659" s="17" t="n">
        <v>8</v>
      </c>
      <c r="D659" s="17" t="n">
        <v>2021</v>
      </c>
      <c r="E659" s="18" t="n">
        <v>0.321574074074074</v>
      </c>
      <c r="F659" s="17" t="n">
        <v>2149</v>
      </c>
      <c r="G659" s="17" t="s">
        <v>260</v>
      </c>
      <c r="H659" s="17" t="s">
        <v>261</v>
      </c>
      <c r="I659" s="17" t="s">
        <v>262</v>
      </c>
      <c r="J659" s="17" t="s">
        <v>263</v>
      </c>
      <c r="K659" s="17" t="n">
        <v>41</v>
      </c>
      <c r="L659" s="17" t="s">
        <v>125</v>
      </c>
      <c r="M659" s="17" t="s">
        <v>82</v>
      </c>
      <c r="N659" s="19" t="n">
        <v>10.1</v>
      </c>
      <c r="O659" s="19" t="n">
        <v>414.1</v>
      </c>
      <c r="P659" s="17" t="s">
        <v>33</v>
      </c>
      <c r="Q659" s="20" t="n">
        <f aca="false">DATE(D659,C659,B659)</f>
        <v>44430</v>
      </c>
      <c r="R659" s="17" t="str">
        <f aca="false">IF(HOUR(E659)&lt;6,"Madrugada (0-5 h)",IF(HOUR(E659)&lt;12,"Mañana (6-11 h)",IF(HOUR(E659)&lt;18,"Tarde (12-17 h)","Noche (18-23 h)")))</f>
        <v>Mañana (6-11 h)</v>
      </c>
    </row>
    <row r="660" customFormat="false" ht="15" hidden="false" customHeight="false" outlineLevel="0" collapsed="false">
      <c r="A660" s="17" t="n">
        <v>1659</v>
      </c>
      <c r="B660" s="17" t="n">
        <v>4</v>
      </c>
      <c r="C660" s="17" t="n">
        <v>8</v>
      </c>
      <c r="D660" s="17" t="n">
        <v>2021</v>
      </c>
      <c r="E660" s="18" t="n">
        <v>0.225358796296296</v>
      </c>
      <c r="F660" s="17" t="n">
        <v>3488</v>
      </c>
      <c r="G660" s="17" t="s">
        <v>264</v>
      </c>
      <c r="H660" s="17" t="s">
        <v>461</v>
      </c>
      <c r="I660" s="17" t="s">
        <v>266</v>
      </c>
      <c r="J660" s="17" t="s">
        <v>129</v>
      </c>
      <c r="K660" s="17" t="n">
        <v>39</v>
      </c>
      <c r="L660" s="17" t="s">
        <v>61</v>
      </c>
      <c r="M660" s="17" t="s">
        <v>32</v>
      </c>
      <c r="N660" s="19" t="n">
        <v>4.56</v>
      </c>
      <c r="O660" s="19" t="n">
        <v>177.84</v>
      </c>
      <c r="P660" s="17" t="s">
        <v>33</v>
      </c>
      <c r="Q660" s="20" t="n">
        <f aca="false">DATE(D660,C660,B660)</f>
        <v>44412</v>
      </c>
      <c r="R660" s="17" t="str">
        <f aca="false">IF(HOUR(E660)&lt;6,"Madrugada (0-5 h)",IF(HOUR(E660)&lt;12,"Mañana (6-11 h)",IF(HOUR(E660)&lt;18,"Tarde (12-17 h)","Noche (18-23 h)")))</f>
        <v>Madrugada (0-5 h)</v>
      </c>
    </row>
    <row r="661" customFormat="false" ht="15" hidden="false" customHeight="false" outlineLevel="0" collapsed="false">
      <c r="A661" s="17" t="n">
        <v>1660</v>
      </c>
      <c r="B661" s="17" t="n">
        <v>12</v>
      </c>
      <c r="C661" s="17" t="n">
        <v>7</v>
      </c>
      <c r="D661" s="17" t="n">
        <v>2021</v>
      </c>
      <c r="E661" s="18" t="n">
        <v>0.209259259259259</v>
      </c>
      <c r="F661" s="17" t="n">
        <v>4101</v>
      </c>
      <c r="G661" s="17" t="s">
        <v>267</v>
      </c>
      <c r="H661" s="17" t="s">
        <v>267</v>
      </c>
      <c r="I661" s="17" t="s">
        <v>93</v>
      </c>
      <c r="J661" s="17" t="s">
        <v>268</v>
      </c>
      <c r="K661" s="17" t="n">
        <v>11</v>
      </c>
      <c r="L661" s="17" t="s">
        <v>61</v>
      </c>
      <c r="M661" s="17" t="s">
        <v>32</v>
      </c>
      <c r="N661" s="19" t="n">
        <v>5.56</v>
      </c>
      <c r="O661" s="19" t="n">
        <v>61.16</v>
      </c>
      <c r="P661" s="17" t="s">
        <v>33</v>
      </c>
      <c r="Q661" s="20" t="n">
        <f aca="false">DATE(D661,C661,B661)</f>
        <v>44389</v>
      </c>
      <c r="R661" s="17" t="str">
        <f aca="false">IF(HOUR(E661)&lt;6,"Madrugada (0-5 h)",IF(HOUR(E661)&lt;12,"Mañana (6-11 h)",IF(HOUR(E661)&lt;18,"Tarde (12-17 h)","Noche (18-23 h)")))</f>
        <v>Madrugada (0-5 h)</v>
      </c>
    </row>
    <row r="662" customFormat="false" ht="15" hidden="false" customHeight="false" outlineLevel="0" collapsed="false">
      <c r="A662" s="17" t="n">
        <v>1661</v>
      </c>
      <c r="B662" s="17" t="n">
        <v>23</v>
      </c>
      <c r="C662" s="17" t="n">
        <v>10</v>
      </c>
      <c r="D662" s="17" t="n">
        <v>2021</v>
      </c>
      <c r="E662" s="18" t="n">
        <v>0.351585648148148</v>
      </c>
      <c r="F662" s="17" t="n">
        <v>1511</v>
      </c>
      <c r="G662" s="17" t="s">
        <v>269</v>
      </c>
      <c r="H662" s="17" t="s">
        <v>270</v>
      </c>
      <c r="I662" s="17" t="s">
        <v>271</v>
      </c>
      <c r="J662" s="17" t="s">
        <v>272</v>
      </c>
      <c r="K662" s="17" t="n">
        <v>19</v>
      </c>
      <c r="L662" s="17" t="s">
        <v>61</v>
      </c>
      <c r="M662" s="17" t="s">
        <v>32</v>
      </c>
      <c r="N662" s="19" t="n">
        <v>3.43</v>
      </c>
      <c r="O662" s="19" t="n">
        <v>65.17</v>
      </c>
      <c r="P662" s="17" t="s">
        <v>33</v>
      </c>
      <c r="Q662" s="20" t="n">
        <f aca="false">DATE(D662,C662,B662)</f>
        <v>44492</v>
      </c>
      <c r="R662" s="17" t="str">
        <f aca="false">IF(HOUR(E662)&lt;6,"Madrugada (0-5 h)",IF(HOUR(E662)&lt;12,"Mañana (6-11 h)",IF(HOUR(E662)&lt;18,"Tarde (12-17 h)","Noche (18-23 h)")))</f>
        <v>Mañana (6-11 h)</v>
      </c>
    </row>
    <row r="663" customFormat="false" ht="15" hidden="false" customHeight="false" outlineLevel="0" collapsed="false">
      <c r="A663" s="17" t="n">
        <v>1662</v>
      </c>
      <c r="B663" s="17" t="n">
        <v>17</v>
      </c>
      <c r="C663" s="17" t="n">
        <v>5</v>
      </c>
      <c r="D663" s="17" t="n">
        <v>2022</v>
      </c>
      <c r="E663" s="18" t="n">
        <v>0.284733796296296</v>
      </c>
      <c r="F663" s="17" t="n">
        <v>1676</v>
      </c>
      <c r="G663" s="17" t="s">
        <v>273</v>
      </c>
      <c r="H663" s="17" t="s">
        <v>274</v>
      </c>
      <c r="I663" s="17" t="s">
        <v>275</v>
      </c>
      <c r="J663" s="17" t="s">
        <v>276</v>
      </c>
      <c r="K663" s="17" t="n">
        <v>8</v>
      </c>
      <c r="L663" s="17" t="s">
        <v>31</v>
      </c>
      <c r="M663" s="17" t="s">
        <v>32</v>
      </c>
      <c r="N663" s="19" t="n">
        <v>15.02</v>
      </c>
      <c r="O663" s="19" t="n">
        <v>120.16</v>
      </c>
      <c r="P663" s="17" t="s">
        <v>33</v>
      </c>
      <c r="Q663" s="20" t="n">
        <f aca="false">DATE(D663,C663,B663)</f>
        <v>44698</v>
      </c>
      <c r="R663" s="17" t="str">
        <f aca="false">IF(HOUR(E663)&lt;6,"Madrugada (0-5 h)",IF(HOUR(E663)&lt;12,"Mañana (6-11 h)",IF(HOUR(E663)&lt;18,"Tarde (12-17 h)","Noche (18-23 h)")))</f>
        <v>Mañana (6-11 h)</v>
      </c>
    </row>
    <row r="664" customFormat="false" ht="15" hidden="false" customHeight="false" outlineLevel="0" collapsed="false">
      <c r="A664" s="17" t="n">
        <v>1663</v>
      </c>
      <c r="B664" s="17" t="n">
        <v>4</v>
      </c>
      <c r="C664" s="17" t="n">
        <v>8</v>
      </c>
      <c r="D664" s="17" t="n">
        <v>2021</v>
      </c>
      <c r="E664" s="18" t="n">
        <v>0.891666666666667</v>
      </c>
      <c r="F664" s="17" t="n">
        <v>4300</v>
      </c>
      <c r="G664" s="17" t="s">
        <v>277</v>
      </c>
      <c r="H664" s="17" t="s">
        <v>278</v>
      </c>
      <c r="I664" s="17" t="s">
        <v>279</v>
      </c>
      <c r="J664" s="17" t="s">
        <v>280</v>
      </c>
      <c r="K664" s="17" t="n">
        <v>5</v>
      </c>
      <c r="L664" s="17" t="s">
        <v>31</v>
      </c>
      <c r="M664" s="17" t="s">
        <v>32</v>
      </c>
      <c r="N664" s="19" t="n">
        <v>2.02</v>
      </c>
      <c r="O664" s="19" t="n">
        <v>10.1</v>
      </c>
      <c r="P664" s="17" t="s">
        <v>33</v>
      </c>
      <c r="Q664" s="20" t="n">
        <f aca="false">DATE(D664,C664,B664)</f>
        <v>44412</v>
      </c>
      <c r="R664" s="17" t="str">
        <f aca="false">IF(HOUR(E664)&lt;6,"Madrugada (0-5 h)",IF(HOUR(E664)&lt;12,"Mañana (6-11 h)",IF(HOUR(E664)&lt;18,"Tarde (12-17 h)","Noche (18-23 h)")))</f>
        <v>Noche (18-23 h)</v>
      </c>
    </row>
    <row r="665" customFormat="false" ht="15" hidden="false" customHeight="false" outlineLevel="0" collapsed="false">
      <c r="A665" s="17" t="n">
        <v>1664</v>
      </c>
      <c r="B665" s="17" t="n">
        <v>6</v>
      </c>
      <c r="C665" s="17" t="n">
        <v>12</v>
      </c>
      <c r="D665" s="17" t="n">
        <v>2022</v>
      </c>
      <c r="E665" s="18" t="n">
        <v>0.406666666666667</v>
      </c>
      <c r="F665" s="17" t="n">
        <v>1098</v>
      </c>
      <c r="G665" s="17" t="s">
        <v>224</v>
      </c>
      <c r="H665" s="17" t="s">
        <v>224</v>
      </c>
      <c r="I665" s="17" t="s">
        <v>281</v>
      </c>
      <c r="J665" s="17" t="s">
        <v>282</v>
      </c>
      <c r="K665" s="17" t="n">
        <v>31</v>
      </c>
      <c r="L665" s="17" t="s">
        <v>31</v>
      </c>
      <c r="M665" s="17" t="s">
        <v>32</v>
      </c>
      <c r="N665" s="19" t="n">
        <v>2.45</v>
      </c>
      <c r="O665" s="19" t="n">
        <v>75.95</v>
      </c>
      <c r="P665" s="17" t="s">
        <v>33</v>
      </c>
      <c r="Q665" s="20" t="n">
        <f aca="false">DATE(D665,C665,B665)</f>
        <v>44901</v>
      </c>
      <c r="R665" s="17" t="str">
        <f aca="false">IF(HOUR(E665)&lt;6,"Madrugada (0-5 h)",IF(HOUR(E665)&lt;12,"Mañana (6-11 h)",IF(HOUR(E665)&lt;18,"Tarde (12-17 h)","Noche (18-23 h)")))</f>
        <v>Mañana (6-11 h)</v>
      </c>
    </row>
    <row r="666" customFormat="false" ht="15" hidden="false" customHeight="false" outlineLevel="0" collapsed="false">
      <c r="A666" s="17" t="n">
        <v>1665</v>
      </c>
      <c r="B666" s="17" t="n">
        <v>10</v>
      </c>
      <c r="C666" s="17" t="n">
        <v>1</v>
      </c>
      <c r="D666" s="17" t="n">
        <v>2021</v>
      </c>
      <c r="E666" s="18" t="n">
        <v>0.736018518518519</v>
      </c>
      <c r="F666" s="17" t="n">
        <v>2588</v>
      </c>
      <c r="G666" s="17" t="s">
        <v>220</v>
      </c>
      <c r="H666" s="17" t="s">
        <v>221</v>
      </c>
      <c r="I666" s="17" t="s">
        <v>283</v>
      </c>
      <c r="J666" s="17" t="s">
        <v>284</v>
      </c>
      <c r="K666" s="17" t="n">
        <v>49</v>
      </c>
      <c r="L666" s="17" t="s">
        <v>31</v>
      </c>
      <c r="M666" s="17" t="s">
        <v>32</v>
      </c>
      <c r="N666" s="19" t="n">
        <v>6.53</v>
      </c>
      <c r="O666" s="19" t="n">
        <v>319.97</v>
      </c>
      <c r="P666" s="17" t="s">
        <v>33</v>
      </c>
      <c r="Q666" s="20" t="n">
        <f aca="false">DATE(D666,C666,B666)</f>
        <v>44206</v>
      </c>
      <c r="R666" s="17" t="str">
        <f aca="false">IF(HOUR(E666)&lt;6,"Madrugada (0-5 h)",IF(HOUR(E666)&lt;12,"Mañana (6-11 h)",IF(HOUR(E666)&lt;18,"Tarde (12-17 h)","Noche (18-23 h)")))</f>
        <v>Tarde (12-17 h)</v>
      </c>
    </row>
    <row r="667" customFormat="false" ht="15" hidden="false" customHeight="false" outlineLevel="0" collapsed="false">
      <c r="A667" s="17" t="n">
        <v>1666</v>
      </c>
      <c r="B667" s="17" t="n">
        <v>5</v>
      </c>
      <c r="C667" s="17" t="n">
        <v>11</v>
      </c>
      <c r="D667" s="17" t="n">
        <v>2021</v>
      </c>
      <c r="E667" s="18" t="n">
        <v>0.511446759259259</v>
      </c>
      <c r="F667" s="17" t="n">
        <v>2212</v>
      </c>
      <c r="G667" s="17" t="s">
        <v>285</v>
      </c>
      <c r="H667" s="17" t="s">
        <v>286</v>
      </c>
      <c r="I667" s="17" t="s">
        <v>287</v>
      </c>
      <c r="J667" s="17" t="s">
        <v>288</v>
      </c>
      <c r="K667" s="17" t="n">
        <v>12</v>
      </c>
      <c r="L667" s="17" t="s">
        <v>31</v>
      </c>
      <c r="M667" s="17" t="s">
        <v>32</v>
      </c>
      <c r="N667" s="19" t="n">
        <v>5.55</v>
      </c>
      <c r="O667" s="19" t="n">
        <v>66.6</v>
      </c>
      <c r="P667" s="17" t="s">
        <v>33</v>
      </c>
      <c r="Q667" s="20" t="n">
        <f aca="false">DATE(D667,C667,B667)</f>
        <v>44505</v>
      </c>
      <c r="R667" s="17" t="str">
        <f aca="false">IF(HOUR(E667)&lt;6,"Madrugada (0-5 h)",IF(HOUR(E667)&lt;12,"Mañana (6-11 h)",IF(HOUR(E667)&lt;18,"Tarde (12-17 h)","Noche (18-23 h)")))</f>
        <v>Tarde (12-17 h)</v>
      </c>
    </row>
    <row r="668" customFormat="false" ht="15" hidden="false" customHeight="false" outlineLevel="0" collapsed="false">
      <c r="A668" s="17" t="n">
        <v>1667</v>
      </c>
      <c r="B668" s="17" t="n">
        <v>12</v>
      </c>
      <c r="C668" s="17" t="n">
        <v>10</v>
      </c>
      <c r="D668" s="17" t="n">
        <v>2022</v>
      </c>
      <c r="E668" s="18" t="n">
        <v>0.0974305555555556</v>
      </c>
      <c r="F668" s="17" t="n">
        <v>4683</v>
      </c>
      <c r="G668" s="17" t="s">
        <v>91</v>
      </c>
      <c r="H668" s="17" t="s">
        <v>92</v>
      </c>
      <c r="I668" s="17" t="s">
        <v>289</v>
      </c>
      <c r="J668" s="17" t="s">
        <v>290</v>
      </c>
      <c r="K668" s="17" t="n">
        <v>9</v>
      </c>
      <c r="L668" s="17" t="s">
        <v>61</v>
      </c>
      <c r="M668" s="17" t="s">
        <v>32</v>
      </c>
      <c r="N668" s="19" t="n">
        <v>4.12</v>
      </c>
      <c r="O668" s="19" t="n">
        <v>37.08</v>
      </c>
      <c r="P668" s="17" t="s">
        <v>33</v>
      </c>
      <c r="Q668" s="20" t="n">
        <f aca="false">DATE(D668,C668,B668)</f>
        <v>44846</v>
      </c>
      <c r="R668" s="17" t="str">
        <f aca="false">IF(HOUR(E668)&lt;6,"Madrugada (0-5 h)",IF(HOUR(E668)&lt;12,"Mañana (6-11 h)",IF(HOUR(E668)&lt;18,"Tarde (12-17 h)","Noche (18-23 h)")))</f>
        <v>Madrugada (0-5 h)</v>
      </c>
    </row>
    <row r="669" customFormat="false" ht="15" hidden="false" customHeight="false" outlineLevel="0" collapsed="false">
      <c r="A669" s="17" t="n">
        <v>1668</v>
      </c>
      <c r="B669" s="17" t="n">
        <v>2</v>
      </c>
      <c r="C669" s="17" t="n">
        <v>6</v>
      </c>
      <c r="D669" s="17" t="n">
        <v>2022</v>
      </c>
      <c r="E669" s="18" t="n">
        <v>0.502384259259259</v>
      </c>
      <c r="F669" s="17" t="n">
        <v>3227</v>
      </c>
      <c r="G669" s="17" t="s">
        <v>291</v>
      </c>
      <c r="H669" s="17" t="s">
        <v>462</v>
      </c>
      <c r="I669" s="17" t="s">
        <v>293</v>
      </c>
      <c r="J669" s="17" t="s">
        <v>294</v>
      </c>
      <c r="K669" s="17" t="n">
        <v>1</v>
      </c>
      <c r="L669" s="17" t="s">
        <v>42</v>
      </c>
      <c r="M669" s="17" t="s">
        <v>32</v>
      </c>
      <c r="N669" s="19" t="n">
        <v>5.76</v>
      </c>
      <c r="O669" s="19" t="n">
        <v>5.76</v>
      </c>
      <c r="P669" s="17" t="s">
        <v>33</v>
      </c>
      <c r="Q669" s="20" t="n">
        <f aca="false">DATE(D669,C669,B669)</f>
        <v>44714</v>
      </c>
      <c r="R669" s="17" t="str">
        <f aca="false">IF(HOUR(E669)&lt;6,"Madrugada (0-5 h)",IF(HOUR(E669)&lt;12,"Mañana (6-11 h)",IF(HOUR(E669)&lt;18,"Tarde (12-17 h)","Noche (18-23 h)")))</f>
        <v>Tarde (12-17 h)</v>
      </c>
    </row>
    <row r="670" customFormat="false" ht="15" hidden="false" customHeight="false" outlineLevel="0" collapsed="false">
      <c r="A670" s="17" t="n">
        <v>1669</v>
      </c>
      <c r="B670" s="17" t="n">
        <v>9</v>
      </c>
      <c r="C670" s="17" t="n">
        <v>7</v>
      </c>
      <c r="D670" s="17" t="n">
        <v>2021</v>
      </c>
      <c r="E670" s="18" t="n">
        <v>0.849641203703704</v>
      </c>
      <c r="F670" s="17" t="n">
        <v>4619</v>
      </c>
      <c r="G670" s="17" t="s">
        <v>295</v>
      </c>
      <c r="H670" s="17" t="s">
        <v>296</v>
      </c>
      <c r="I670" s="17" t="s">
        <v>297</v>
      </c>
      <c r="J670" s="17" t="s">
        <v>298</v>
      </c>
      <c r="K670" s="17" t="n">
        <v>29</v>
      </c>
      <c r="L670" s="17" t="s">
        <v>98</v>
      </c>
      <c r="M670" s="17" t="s">
        <v>62</v>
      </c>
      <c r="N670" s="19" t="n">
        <v>3.5</v>
      </c>
      <c r="O670" s="19" t="n">
        <v>101.5</v>
      </c>
      <c r="P670" s="17" t="s">
        <v>33</v>
      </c>
      <c r="Q670" s="20" t="n">
        <f aca="false">DATE(D670,C670,B670)</f>
        <v>44386</v>
      </c>
      <c r="R670" s="17" t="str">
        <f aca="false">IF(HOUR(E670)&lt;6,"Madrugada (0-5 h)",IF(HOUR(E670)&lt;12,"Mañana (6-11 h)",IF(HOUR(E670)&lt;18,"Tarde (12-17 h)","Noche (18-23 h)")))</f>
        <v>Noche (18-23 h)</v>
      </c>
    </row>
    <row r="671" customFormat="false" ht="15" hidden="false" customHeight="false" outlineLevel="0" collapsed="false">
      <c r="A671" s="17" t="n">
        <v>1670</v>
      </c>
      <c r="B671" s="17" t="n">
        <v>7</v>
      </c>
      <c r="C671" s="17" t="n">
        <v>10</v>
      </c>
      <c r="D671" s="17" t="n">
        <v>2021</v>
      </c>
      <c r="E671" s="18" t="n">
        <v>0.76275462962963</v>
      </c>
      <c r="F671" s="17" t="n">
        <v>2912</v>
      </c>
      <c r="G671" s="17" t="s">
        <v>72</v>
      </c>
      <c r="H671" s="17" t="s">
        <v>299</v>
      </c>
      <c r="I671" s="17" t="s">
        <v>300</v>
      </c>
      <c r="J671" s="17" t="s">
        <v>301</v>
      </c>
      <c r="K671" s="17" t="n">
        <v>50</v>
      </c>
      <c r="L671" s="17" t="s">
        <v>61</v>
      </c>
      <c r="M671" s="17" t="s">
        <v>76</v>
      </c>
      <c r="N671" s="19" t="n">
        <v>13.71</v>
      </c>
      <c r="O671" s="19" t="n">
        <v>685.5</v>
      </c>
      <c r="P671" s="17" t="s">
        <v>33</v>
      </c>
      <c r="Q671" s="20" t="n">
        <f aca="false">DATE(D671,C671,B671)</f>
        <v>44476</v>
      </c>
      <c r="R671" s="17" t="str">
        <f aca="false">IF(HOUR(E671)&lt;6,"Madrugada (0-5 h)",IF(HOUR(E671)&lt;12,"Mañana (6-11 h)",IF(HOUR(E671)&lt;18,"Tarde (12-17 h)","Noche (18-23 h)")))</f>
        <v>Noche (18-23 h)</v>
      </c>
    </row>
    <row r="672" customFormat="false" ht="15" hidden="false" customHeight="false" outlineLevel="0" collapsed="false">
      <c r="A672" s="17" t="n">
        <v>1671</v>
      </c>
      <c r="B672" s="17" t="n">
        <v>1</v>
      </c>
      <c r="C672" s="17" t="n">
        <v>2</v>
      </c>
      <c r="D672" s="17" t="n">
        <v>2022</v>
      </c>
      <c r="E672" s="18" t="n">
        <v>0.361608796296296</v>
      </c>
      <c r="F672" s="17" t="n">
        <v>4887</v>
      </c>
      <c r="G672" s="17" t="s">
        <v>302</v>
      </c>
      <c r="H672" s="17" t="s">
        <v>303</v>
      </c>
      <c r="I672" s="17" t="s">
        <v>300</v>
      </c>
      <c r="J672" s="17" t="s">
        <v>301</v>
      </c>
      <c r="K672" s="17" t="n">
        <v>37</v>
      </c>
      <c r="L672" s="17" t="s">
        <v>61</v>
      </c>
      <c r="M672" s="17" t="s">
        <v>76</v>
      </c>
      <c r="N672" s="19" t="n">
        <v>22.36</v>
      </c>
      <c r="O672" s="19" t="n">
        <v>827.32</v>
      </c>
      <c r="P672" s="17" t="s">
        <v>33</v>
      </c>
      <c r="Q672" s="20" t="n">
        <f aca="false">DATE(D672,C672,B672)</f>
        <v>44593</v>
      </c>
      <c r="R672" s="17" t="str">
        <f aca="false">IF(HOUR(E672)&lt;6,"Madrugada (0-5 h)",IF(HOUR(E672)&lt;12,"Mañana (6-11 h)",IF(HOUR(E672)&lt;18,"Tarde (12-17 h)","Noche (18-23 h)")))</f>
        <v>Mañana (6-11 h)</v>
      </c>
    </row>
    <row r="673" customFormat="false" ht="15" hidden="false" customHeight="false" outlineLevel="0" collapsed="false">
      <c r="A673" s="17" t="n">
        <v>1672</v>
      </c>
      <c r="B673" s="17" t="n">
        <v>7</v>
      </c>
      <c r="C673" s="17" t="n">
        <v>3</v>
      </c>
      <c r="D673" s="17" t="n">
        <v>2021</v>
      </c>
      <c r="E673" s="18" t="n">
        <v>0.531863425925926</v>
      </c>
      <c r="F673" s="17" t="n">
        <v>3599</v>
      </c>
      <c r="G673" s="17" t="s">
        <v>304</v>
      </c>
      <c r="H673" s="17" t="s">
        <v>305</v>
      </c>
      <c r="I673" s="17" t="s">
        <v>305</v>
      </c>
      <c r="J673" s="17" t="s">
        <v>306</v>
      </c>
      <c r="K673" s="17" t="n">
        <v>44</v>
      </c>
      <c r="L673" s="17" t="s">
        <v>31</v>
      </c>
      <c r="M673" s="17" t="s">
        <v>32</v>
      </c>
      <c r="N673" s="19" t="n">
        <v>6.68</v>
      </c>
      <c r="O673" s="19" t="n">
        <v>293.92</v>
      </c>
      <c r="P673" s="17" t="s">
        <v>33</v>
      </c>
      <c r="Q673" s="20" t="n">
        <f aca="false">DATE(D673,C673,B673)</f>
        <v>44262</v>
      </c>
      <c r="R673" s="17" t="str">
        <f aca="false">IF(HOUR(E673)&lt;6,"Madrugada (0-5 h)",IF(HOUR(E673)&lt;12,"Mañana (6-11 h)",IF(HOUR(E673)&lt;18,"Tarde (12-17 h)","Noche (18-23 h)")))</f>
        <v>Tarde (12-17 h)</v>
      </c>
    </row>
    <row r="674" customFormat="false" ht="15" hidden="false" customHeight="false" outlineLevel="0" collapsed="false">
      <c r="A674" s="17" t="n">
        <v>1673</v>
      </c>
      <c r="B674" s="17" t="n">
        <v>11</v>
      </c>
      <c r="C674" s="17" t="n">
        <v>2</v>
      </c>
      <c r="D674" s="17" t="n">
        <v>2021</v>
      </c>
      <c r="E674" s="18" t="n">
        <v>0.46162037037037</v>
      </c>
      <c r="F674" s="17" t="n">
        <v>3244</v>
      </c>
      <c r="G674" s="17" t="s">
        <v>307</v>
      </c>
      <c r="H674" s="17" t="s">
        <v>250</v>
      </c>
      <c r="I674" s="17" t="s">
        <v>308</v>
      </c>
      <c r="J674" s="17" t="s">
        <v>309</v>
      </c>
      <c r="K674" s="17" t="n">
        <v>14</v>
      </c>
      <c r="L674" s="17" t="s">
        <v>31</v>
      </c>
      <c r="M674" s="17" t="s">
        <v>32</v>
      </c>
      <c r="N674" s="19" t="n">
        <v>10.05</v>
      </c>
      <c r="O674" s="19" t="n">
        <v>140.7</v>
      </c>
      <c r="P674" s="17" t="s">
        <v>33</v>
      </c>
      <c r="Q674" s="20" t="n">
        <f aca="false">DATE(D674,C674,B674)</f>
        <v>44238</v>
      </c>
      <c r="R674" s="17" t="str">
        <f aca="false">IF(HOUR(E674)&lt;6,"Madrugada (0-5 h)",IF(HOUR(E674)&lt;12,"Mañana (6-11 h)",IF(HOUR(E674)&lt;18,"Tarde (12-17 h)","Noche (18-23 h)")))</f>
        <v>Mañana (6-11 h)</v>
      </c>
    </row>
    <row r="675" customFormat="false" ht="15" hidden="false" customHeight="false" outlineLevel="0" collapsed="false">
      <c r="A675" s="17" t="n">
        <v>1674</v>
      </c>
      <c r="B675" s="17" t="n">
        <v>28</v>
      </c>
      <c r="C675" s="17" t="n">
        <v>4</v>
      </c>
      <c r="D675" s="17" t="n">
        <v>2021</v>
      </c>
      <c r="E675" s="18" t="n">
        <v>0.256400462962963</v>
      </c>
      <c r="F675" s="17" t="n">
        <v>2327</v>
      </c>
      <c r="G675" s="17" t="s">
        <v>310</v>
      </c>
      <c r="H675" s="17" t="s">
        <v>311</v>
      </c>
      <c r="I675" s="17" t="s">
        <v>312</v>
      </c>
      <c r="J675" s="17" t="s">
        <v>313</v>
      </c>
      <c r="K675" s="17" t="n">
        <v>42</v>
      </c>
      <c r="L675" s="17" t="s">
        <v>31</v>
      </c>
      <c r="M675" s="17" t="s">
        <v>32</v>
      </c>
      <c r="N675" s="19" t="n">
        <v>1.55</v>
      </c>
      <c r="O675" s="19" t="n">
        <v>65.1</v>
      </c>
      <c r="P675" s="17" t="s">
        <v>33</v>
      </c>
      <c r="Q675" s="20" t="n">
        <f aca="false">DATE(D675,C675,B675)</f>
        <v>44314</v>
      </c>
      <c r="R675" s="17" t="str">
        <f aca="false">IF(HOUR(E675)&lt;6,"Madrugada (0-5 h)",IF(HOUR(E675)&lt;12,"Mañana (6-11 h)",IF(HOUR(E675)&lt;18,"Tarde (12-17 h)","Noche (18-23 h)")))</f>
        <v>Mañana (6-11 h)</v>
      </c>
    </row>
    <row r="676" customFormat="false" ht="15" hidden="false" customHeight="false" outlineLevel="0" collapsed="false">
      <c r="A676" s="17" t="n">
        <v>1675</v>
      </c>
      <c r="B676" s="17" t="n">
        <v>4</v>
      </c>
      <c r="C676" s="17" t="n">
        <v>7</v>
      </c>
      <c r="D676" s="17" t="n">
        <v>2021</v>
      </c>
      <c r="E676" s="18" t="n">
        <v>0.259513888888889</v>
      </c>
      <c r="F676" s="17" t="n">
        <v>3289</v>
      </c>
      <c r="G676" s="17" t="s">
        <v>314</v>
      </c>
      <c r="H676" s="17" t="s">
        <v>315</v>
      </c>
      <c r="I676" s="17" t="s">
        <v>316</v>
      </c>
      <c r="J676" s="17" t="s">
        <v>317</v>
      </c>
      <c r="K676" s="17" t="n">
        <v>45</v>
      </c>
      <c r="L676" s="17" t="s">
        <v>31</v>
      </c>
      <c r="M676" s="17" t="s">
        <v>32</v>
      </c>
      <c r="N676" s="19" t="n">
        <v>4.55</v>
      </c>
      <c r="O676" s="19" t="n">
        <v>204.75</v>
      </c>
      <c r="P676" s="17" t="s">
        <v>33</v>
      </c>
      <c r="Q676" s="20" t="n">
        <f aca="false">DATE(D676,C676,B676)</f>
        <v>44381</v>
      </c>
      <c r="R676" s="17" t="str">
        <f aca="false">IF(HOUR(E676)&lt;6,"Madrugada (0-5 h)",IF(HOUR(E676)&lt;12,"Mañana (6-11 h)",IF(HOUR(E676)&lt;18,"Tarde (12-17 h)","Noche (18-23 h)")))</f>
        <v>Mañana (6-11 h)</v>
      </c>
    </row>
    <row r="677" customFormat="false" ht="15" hidden="false" customHeight="false" outlineLevel="0" collapsed="false">
      <c r="A677" s="17" t="n">
        <v>1676</v>
      </c>
      <c r="B677" s="17" t="n">
        <v>23</v>
      </c>
      <c r="C677" s="17" t="n">
        <v>10</v>
      </c>
      <c r="D677" s="17" t="n">
        <v>2022</v>
      </c>
      <c r="E677" s="18" t="n">
        <v>0.486990740740741</v>
      </c>
      <c r="F677" s="17" t="n">
        <v>3534</v>
      </c>
      <c r="G677" s="17" t="s">
        <v>318</v>
      </c>
      <c r="H677" s="17" t="s">
        <v>319</v>
      </c>
      <c r="I677" s="17" t="s">
        <v>320</v>
      </c>
      <c r="J677" s="17" t="s">
        <v>321</v>
      </c>
      <c r="K677" s="17" t="n">
        <v>6</v>
      </c>
      <c r="L677" s="17" t="s">
        <v>31</v>
      </c>
      <c r="M677" s="17" t="s">
        <v>82</v>
      </c>
      <c r="N677" s="19" t="n">
        <v>5.74</v>
      </c>
      <c r="O677" s="19" t="n">
        <v>34.44</v>
      </c>
      <c r="P677" s="17" t="s">
        <v>33</v>
      </c>
      <c r="Q677" s="20" t="n">
        <f aca="false">DATE(D677,C677,B677)</f>
        <v>44857</v>
      </c>
      <c r="R677" s="17" t="str">
        <f aca="false">IF(HOUR(E677)&lt;6,"Madrugada (0-5 h)",IF(HOUR(E677)&lt;12,"Mañana (6-11 h)",IF(HOUR(E677)&lt;18,"Tarde (12-17 h)","Noche (18-23 h)")))</f>
        <v>Mañana (6-11 h)</v>
      </c>
    </row>
    <row r="678" customFormat="false" ht="15" hidden="false" customHeight="false" outlineLevel="0" collapsed="false">
      <c r="A678" s="17" t="n">
        <v>1677</v>
      </c>
      <c r="B678" s="17" t="n">
        <v>25</v>
      </c>
      <c r="C678" s="17" t="n">
        <v>11</v>
      </c>
      <c r="D678" s="17" t="n">
        <v>2021</v>
      </c>
      <c r="E678" s="18" t="n">
        <v>0.499675925925926</v>
      </c>
      <c r="F678" s="17" t="n">
        <v>1759</v>
      </c>
      <c r="G678" s="17" t="s">
        <v>322</v>
      </c>
      <c r="H678" s="17" t="s">
        <v>323</v>
      </c>
      <c r="I678" s="17" t="s">
        <v>324</v>
      </c>
      <c r="J678" s="17" t="s">
        <v>325</v>
      </c>
      <c r="K678" s="17" t="n">
        <v>50</v>
      </c>
      <c r="L678" s="17" t="s">
        <v>61</v>
      </c>
      <c r="M678" s="17" t="s">
        <v>76</v>
      </c>
      <c r="N678" s="19" t="n">
        <v>10.99</v>
      </c>
      <c r="O678" s="19" t="n">
        <v>549.5</v>
      </c>
      <c r="P678" s="17" t="s">
        <v>33</v>
      </c>
      <c r="Q678" s="20" t="n">
        <f aca="false">DATE(D678,C678,B678)</f>
        <v>44525</v>
      </c>
      <c r="R678" s="17" t="str">
        <f aca="false">IF(HOUR(E678)&lt;6,"Madrugada (0-5 h)",IF(HOUR(E678)&lt;12,"Mañana (6-11 h)",IF(HOUR(E678)&lt;18,"Tarde (12-17 h)","Noche (18-23 h)")))</f>
        <v>Mañana (6-11 h)</v>
      </c>
    </row>
    <row r="679" customFormat="false" ht="15" hidden="false" customHeight="false" outlineLevel="0" collapsed="false">
      <c r="A679" s="17" t="n">
        <v>1678</v>
      </c>
      <c r="B679" s="17" t="n">
        <v>6</v>
      </c>
      <c r="C679" s="17" t="n">
        <v>12</v>
      </c>
      <c r="D679" s="17" t="n">
        <v>2021</v>
      </c>
      <c r="E679" s="18" t="n">
        <v>0.5459375</v>
      </c>
      <c r="F679" s="17" t="n">
        <v>3646</v>
      </c>
      <c r="G679" s="17" t="s">
        <v>188</v>
      </c>
      <c r="H679" s="17" t="s">
        <v>326</v>
      </c>
      <c r="I679" s="17" t="s">
        <v>190</v>
      </c>
      <c r="J679" s="17" t="s">
        <v>191</v>
      </c>
      <c r="K679" s="17" t="n">
        <v>10</v>
      </c>
      <c r="L679" s="17" t="s">
        <v>61</v>
      </c>
      <c r="M679" s="17" t="s">
        <v>76</v>
      </c>
      <c r="N679" s="19" t="n">
        <v>13.55</v>
      </c>
      <c r="O679" s="19" t="n">
        <v>135.5</v>
      </c>
      <c r="P679" s="17" t="s">
        <v>43</v>
      </c>
      <c r="Q679" s="20" t="n">
        <f aca="false">DATE(D679,C679,B679)</f>
        <v>44536</v>
      </c>
      <c r="R679" s="17" t="str">
        <f aca="false">IF(HOUR(E679)&lt;6,"Madrugada (0-5 h)",IF(HOUR(E679)&lt;12,"Mañana (6-11 h)",IF(HOUR(E679)&lt;18,"Tarde (12-17 h)","Noche (18-23 h)")))</f>
        <v>Tarde (12-17 h)</v>
      </c>
    </row>
    <row r="680" customFormat="false" ht="15" hidden="false" customHeight="false" outlineLevel="0" collapsed="false">
      <c r="A680" s="17" t="n">
        <v>1679</v>
      </c>
      <c r="B680" s="17" t="n">
        <v>21</v>
      </c>
      <c r="C680" s="17" t="n">
        <v>3</v>
      </c>
      <c r="D680" s="17" t="n">
        <v>2022</v>
      </c>
      <c r="E680" s="18" t="n">
        <v>0.485925925925926</v>
      </c>
      <c r="F680" s="17" t="n">
        <v>1311</v>
      </c>
      <c r="G680" s="17" t="s">
        <v>327</v>
      </c>
      <c r="H680" s="17" t="s">
        <v>84</v>
      </c>
      <c r="I680" s="17" t="s">
        <v>222</v>
      </c>
      <c r="J680" s="17" t="s">
        <v>328</v>
      </c>
      <c r="K680" s="17" t="n">
        <v>42</v>
      </c>
      <c r="L680" s="17" t="s">
        <v>42</v>
      </c>
      <c r="M680" s="17" t="s">
        <v>32</v>
      </c>
      <c r="N680" s="19" t="n">
        <v>5.56</v>
      </c>
      <c r="O680" s="19" t="n">
        <v>233.52</v>
      </c>
      <c r="P680" s="17" t="s">
        <v>33</v>
      </c>
      <c r="Q680" s="20" t="n">
        <f aca="false">DATE(D680,C680,B680)</f>
        <v>44641</v>
      </c>
      <c r="R680" s="17" t="str">
        <f aca="false">IF(HOUR(E680)&lt;6,"Madrugada (0-5 h)",IF(HOUR(E680)&lt;12,"Mañana (6-11 h)",IF(HOUR(E680)&lt;18,"Tarde (12-17 h)","Noche (18-23 h)")))</f>
        <v>Mañana (6-11 h)</v>
      </c>
    </row>
    <row r="681" customFormat="false" ht="15" hidden="false" customHeight="false" outlineLevel="0" collapsed="false">
      <c r="A681" s="17" t="n">
        <v>1680</v>
      </c>
      <c r="B681" s="17" t="n">
        <v>12</v>
      </c>
      <c r="C681" s="17" t="n">
        <v>11</v>
      </c>
      <c r="D681" s="17" t="n">
        <v>2022</v>
      </c>
      <c r="E681" s="18" t="n">
        <v>0.491481481481482</v>
      </c>
      <c r="F681" s="17" t="n">
        <v>4454</v>
      </c>
      <c r="G681" s="17" t="s">
        <v>329</v>
      </c>
      <c r="H681" s="17" t="s">
        <v>330</v>
      </c>
      <c r="I681" s="17" t="s">
        <v>331</v>
      </c>
      <c r="J681" s="17" t="s">
        <v>332</v>
      </c>
      <c r="K681" s="17" t="n">
        <v>4</v>
      </c>
      <c r="L681" s="17" t="s">
        <v>81</v>
      </c>
      <c r="M681" s="17" t="s">
        <v>333</v>
      </c>
      <c r="N681" s="19" t="n">
        <v>3.32</v>
      </c>
      <c r="O681" s="19" t="n">
        <v>13.28</v>
      </c>
      <c r="P681" s="17" t="s">
        <v>43</v>
      </c>
      <c r="Q681" s="20" t="n">
        <f aca="false">DATE(D681,C681,B681)</f>
        <v>44877</v>
      </c>
      <c r="R681" s="17" t="str">
        <f aca="false">IF(HOUR(E681)&lt;6,"Madrugada (0-5 h)",IF(HOUR(E681)&lt;12,"Mañana (6-11 h)",IF(HOUR(E681)&lt;18,"Tarde (12-17 h)","Noche (18-23 h)")))</f>
        <v>Mañana (6-11 h)</v>
      </c>
    </row>
    <row r="682" customFormat="false" ht="15" hidden="false" customHeight="false" outlineLevel="0" collapsed="false">
      <c r="A682" s="17" t="n">
        <v>1681</v>
      </c>
      <c r="B682" s="17" t="n">
        <v>1</v>
      </c>
      <c r="C682" s="17" t="n">
        <v>9</v>
      </c>
      <c r="D682" s="17" t="n">
        <v>2022</v>
      </c>
      <c r="E682" s="18" t="n">
        <v>0.0349305555555556</v>
      </c>
      <c r="F682" s="17" t="n">
        <v>1179</v>
      </c>
      <c r="G682" s="17" t="s">
        <v>334</v>
      </c>
      <c r="H682" s="17" t="s">
        <v>88</v>
      </c>
      <c r="I682" s="17" t="s">
        <v>335</v>
      </c>
      <c r="J682" s="17" t="s">
        <v>336</v>
      </c>
      <c r="K682" s="17" t="n">
        <v>20</v>
      </c>
      <c r="L682" s="17" t="s">
        <v>81</v>
      </c>
      <c r="M682" s="17" t="s">
        <v>333</v>
      </c>
      <c r="N682" s="19" t="n">
        <v>54</v>
      </c>
      <c r="O682" s="19" t="n">
        <v>1080</v>
      </c>
      <c r="P682" s="17" t="s">
        <v>33</v>
      </c>
      <c r="Q682" s="20" t="n">
        <f aca="false">DATE(D682,C682,B682)</f>
        <v>44805</v>
      </c>
      <c r="R682" s="17" t="str">
        <f aca="false">IF(HOUR(E682)&lt;6,"Madrugada (0-5 h)",IF(HOUR(E682)&lt;12,"Mañana (6-11 h)",IF(HOUR(E682)&lt;18,"Tarde (12-17 h)","Noche (18-23 h)")))</f>
        <v>Madrugada (0-5 h)</v>
      </c>
    </row>
    <row r="683" customFormat="false" ht="15" hidden="false" customHeight="false" outlineLevel="0" collapsed="false">
      <c r="A683" s="17" t="n">
        <v>1682</v>
      </c>
      <c r="B683" s="17" t="n">
        <v>2</v>
      </c>
      <c r="C683" s="17" t="n">
        <v>9</v>
      </c>
      <c r="D683" s="17" t="n">
        <v>2021</v>
      </c>
      <c r="E683" s="18" t="n">
        <v>0.622222222222222</v>
      </c>
      <c r="F683" s="17" t="n">
        <v>4866</v>
      </c>
      <c r="G683" s="17" t="s">
        <v>337</v>
      </c>
      <c r="H683" s="17" t="s">
        <v>338</v>
      </c>
      <c r="I683" s="17" t="s">
        <v>339</v>
      </c>
      <c r="J683" s="17" t="s">
        <v>340</v>
      </c>
      <c r="K683" s="17" t="n">
        <v>8</v>
      </c>
      <c r="L683" s="17" t="s">
        <v>81</v>
      </c>
      <c r="M683" s="17" t="s">
        <v>333</v>
      </c>
      <c r="N683" s="19" t="n">
        <v>13.42</v>
      </c>
      <c r="O683" s="19" t="n">
        <v>107.36</v>
      </c>
      <c r="P683" s="17" t="s">
        <v>33</v>
      </c>
      <c r="Q683" s="20" t="n">
        <f aca="false">DATE(D683,C683,B683)</f>
        <v>44441</v>
      </c>
      <c r="R683" s="17" t="str">
        <f aca="false">IF(HOUR(E683)&lt;6,"Madrugada (0-5 h)",IF(HOUR(E683)&lt;12,"Mañana (6-11 h)",IF(HOUR(E683)&lt;18,"Tarde (12-17 h)","Noche (18-23 h)")))</f>
        <v>Tarde (12-17 h)</v>
      </c>
    </row>
    <row r="684" customFormat="false" ht="15" hidden="false" customHeight="false" outlineLevel="0" collapsed="false">
      <c r="A684" s="17" t="n">
        <v>1683</v>
      </c>
      <c r="B684" s="17" t="n">
        <v>24</v>
      </c>
      <c r="C684" s="17" t="n">
        <v>1</v>
      </c>
      <c r="D684" s="17" t="n">
        <v>2021</v>
      </c>
      <c r="E684" s="18" t="n">
        <v>0.966805555555556</v>
      </c>
      <c r="F684" s="17" t="n">
        <v>4302</v>
      </c>
      <c r="G684" s="17" t="s">
        <v>341</v>
      </c>
      <c r="H684" s="17" t="s">
        <v>342</v>
      </c>
      <c r="I684" s="17" t="s">
        <v>343</v>
      </c>
      <c r="J684" s="17" t="s">
        <v>344</v>
      </c>
      <c r="K684" s="17" t="n">
        <v>48</v>
      </c>
      <c r="L684" s="17" t="s">
        <v>81</v>
      </c>
      <c r="M684" s="17" t="s">
        <v>333</v>
      </c>
      <c r="N684" s="19" t="n">
        <v>45.04</v>
      </c>
      <c r="O684" s="19" t="n">
        <v>2161.92</v>
      </c>
      <c r="P684" s="17" t="s">
        <v>33</v>
      </c>
      <c r="Q684" s="20" t="n">
        <f aca="false">DATE(D684,C684,B684)</f>
        <v>44220</v>
      </c>
      <c r="R684" s="17" t="str">
        <f aca="false">IF(HOUR(E684)&lt;6,"Madrugada (0-5 h)",IF(HOUR(E684)&lt;12,"Mañana (6-11 h)",IF(HOUR(E684)&lt;18,"Tarde (12-17 h)","Noche (18-23 h)")))</f>
        <v>Noche (18-23 h)</v>
      </c>
    </row>
    <row r="685" customFormat="false" ht="15" hidden="false" customHeight="false" outlineLevel="0" collapsed="false">
      <c r="A685" s="17" t="n">
        <v>1684</v>
      </c>
      <c r="B685" s="17" t="n">
        <v>22</v>
      </c>
      <c r="C685" s="17" t="n">
        <v>12</v>
      </c>
      <c r="D685" s="17" t="n">
        <v>2021</v>
      </c>
      <c r="E685" s="18" t="n">
        <v>0.451793981481482</v>
      </c>
      <c r="F685" s="17" t="n">
        <v>1713</v>
      </c>
      <c r="G685" s="17" t="s">
        <v>345</v>
      </c>
      <c r="H685" s="17" t="s">
        <v>346</v>
      </c>
      <c r="I685" s="17" t="s">
        <v>347</v>
      </c>
      <c r="J685" s="17" t="s">
        <v>348</v>
      </c>
      <c r="K685" s="17" t="n">
        <v>25</v>
      </c>
      <c r="L685" s="17" t="s">
        <v>81</v>
      </c>
      <c r="M685" s="17" t="s">
        <v>32</v>
      </c>
      <c r="N685" s="19" t="n">
        <v>20.05</v>
      </c>
      <c r="O685" s="19" t="n">
        <v>501.25</v>
      </c>
      <c r="P685" s="17" t="s">
        <v>33</v>
      </c>
      <c r="Q685" s="20" t="n">
        <f aca="false">DATE(D685,C685,B685)</f>
        <v>44552</v>
      </c>
      <c r="R685" s="17" t="str">
        <f aca="false">IF(HOUR(E685)&lt;6,"Madrugada (0-5 h)",IF(HOUR(E685)&lt;12,"Mañana (6-11 h)",IF(HOUR(E685)&lt;18,"Tarde (12-17 h)","Noche (18-23 h)")))</f>
        <v>Mañana (6-11 h)</v>
      </c>
    </row>
    <row r="686" customFormat="false" ht="15" hidden="false" customHeight="false" outlineLevel="0" collapsed="false">
      <c r="A686" s="17" t="n">
        <v>1685</v>
      </c>
      <c r="B686" s="17" t="n">
        <v>8</v>
      </c>
      <c r="C686" s="17" t="n">
        <v>7</v>
      </c>
      <c r="D686" s="17" t="n">
        <v>2022</v>
      </c>
      <c r="E686" s="18" t="n">
        <v>0.165416666666667</v>
      </c>
      <c r="F686" s="17" t="n">
        <v>4806</v>
      </c>
      <c r="G686" s="17" t="s">
        <v>349</v>
      </c>
      <c r="H686" s="17" t="s">
        <v>350</v>
      </c>
      <c r="I686" s="17" t="s">
        <v>351</v>
      </c>
      <c r="J686" s="17" t="s">
        <v>352</v>
      </c>
      <c r="K686" s="17" t="n">
        <v>31</v>
      </c>
      <c r="L686" s="17" t="s">
        <v>81</v>
      </c>
      <c r="M686" s="17" t="s">
        <v>32</v>
      </c>
      <c r="N686" s="19" t="n">
        <v>7.98</v>
      </c>
      <c r="O686" s="19" t="n">
        <v>247.38</v>
      </c>
      <c r="P686" s="17" t="s">
        <v>43</v>
      </c>
      <c r="Q686" s="20" t="n">
        <f aca="false">DATE(D686,C686,B686)</f>
        <v>44750</v>
      </c>
      <c r="R686" s="17" t="str">
        <f aca="false">IF(HOUR(E686)&lt;6,"Madrugada (0-5 h)",IF(HOUR(E686)&lt;12,"Mañana (6-11 h)",IF(HOUR(E686)&lt;18,"Tarde (12-17 h)","Noche (18-23 h)")))</f>
        <v>Madrugada (0-5 h)</v>
      </c>
    </row>
    <row r="687" customFormat="false" ht="15" hidden="false" customHeight="false" outlineLevel="0" collapsed="false">
      <c r="A687" s="17" t="n">
        <v>1686</v>
      </c>
      <c r="B687" s="17" t="n">
        <v>21</v>
      </c>
      <c r="C687" s="17" t="n">
        <v>11</v>
      </c>
      <c r="D687" s="17" t="n">
        <v>2022</v>
      </c>
      <c r="E687" s="18" t="n">
        <v>0.680636574074074</v>
      </c>
      <c r="F687" s="17" t="n">
        <v>1869</v>
      </c>
      <c r="G687" s="17" t="s">
        <v>353</v>
      </c>
      <c r="H687" s="17" t="s">
        <v>354</v>
      </c>
      <c r="I687" s="17" t="s">
        <v>355</v>
      </c>
      <c r="J687" s="17" t="s">
        <v>356</v>
      </c>
      <c r="K687" s="17" t="n">
        <v>6</v>
      </c>
      <c r="L687" s="17" t="s">
        <v>125</v>
      </c>
      <c r="M687" s="17" t="s">
        <v>82</v>
      </c>
      <c r="N687" s="19" t="n">
        <v>24.43</v>
      </c>
      <c r="O687" s="19" t="n">
        <v>146.58</v>
      </c>
      <c r="P687" s="17" t="s">
        <v>33</v>
      </c>
      <c r="Q687" s="20" t="n">
        <f aca="false">DATE(D687,C687,B687)</f>
        <v>44886</v>
      </c>
      <c r="R687" s="17" t="str">
        <f aca="false">IF(HOUR(E687)&lt;6,"Madrugada (0-5 h)",IF(HOUR(E687)&lt;12,"Mañana (6-11 h)",IF(HOUR(E687)&lt;18,"Tarde (12-17 h)","Noche (18-23 h)")))</f>
        <v>Tarde (12-17 h)</v>
      </c>
    </row>
    <row r="688" customFormat="false" ht="15" hidden="false" customHeight="false" outlineLevel="0" collapsed="false">
      <c r="A688" s="17" t="n">
        <v>1687</v>
      </c>
      <c r="B688" s="17" t="n">
        <v>3</v>
      </c>
      <c r="C688" s="17" t="n">
        <v>4</v>
      </c>
      <c r="D688" s="17" t="n">
        <v>2021</v>
      </c>
      <c r="E688" s="18" t="n">
        <v>0.519293981481482</v>
      </c>
      <c r="F688" s="17" t="n">
        <v>1141</v>
      </c>
      <c r="G688" s="17" t="s">
        <v>357</v>
      </c>
      <c r="H688" s="17" t="s">
        <v>358</v>
      </c>
      <c r="I688" s="17" t="s">
        <v>359</v>
      </c>
      <c r="J688" s="17" t="s">
        <v>360</v>
      </c>
      <c r="K688" s="17" t="n">
        <v>21</v>
      </c>
      <c r="L688" s="17" t="s">
        <v>81</v>
      </c>
      <c r="M688" s="17" t="s">
        <v>76</v>
      </c>
      <c r="N688" s="19" t="n">
        <v>6.3</v>
      </c>
      <c r="O688" s="19" t="n">
        <v>132.3</v>
      </c>
      <c r="P688" s="17" t="s">
        <v>33</v>
      </c>
      <c r="Q688" s="20" t="n">
        <f aca="false">DATE(D688,C688,B688)</f>
        <v>44289</v>
      </c>
      <c r="R688" s="17" t="str">
        <f aca="false">IF(HOUR(E688)&lt;6,"Madrugada (0-5 h)",IF(HOUR(E688)&lt;12,"Mañana (6-11 h)",IF(HOUR(E688)&lt;18,"Tarde (12-17 h)","Noche (18-23 h)")))</f>
        <v>Tarde (12-17 h)</v>
      </c>
    </row>
    <row r="689" customFormat="false" ht="15" hidden="false" customHeight="false" outlineLevel="0" collapsed="false">
      <c r="A689" s="17" t="n">
        <v>1688</v>
      </c>
      <c r="B689" s="17" t="n">
        <v>13</v>
      </c>
      <c r="C689" s="17" t="n">
        <v>12</v>
      </c>
      <c r="D689" s="17" t="n">
        <v>2022</v>
      </c>
      <c r="E689" s="18" t="n">
        <v>0.920914351851852</v>
      </c>
      <c r="F689" s="17" t="n">
        <v>4931</v>
      </c>
      <c r="G689" s="17" t="s">
        <v>361</v>
      </c>
      <c r="H689" s="17" t="s">
        <v>463</v>
      </c>
      <c r="I689" s="17" t="s">
        <v>363</v>
      </c>
      <c r="J689" s="17" t="s">
        <v>364</v>
      </c>
      <c r="K689" s="17" t="n">
        <v>16</v>
      </c>
      <c r="L689" s="17" t="s">
        <v>81</v>
      </c>
      <c r="M689" s="17" t="s">
        <v>76</v>
      </c>
      <c r="N689" s="19" t="n">
        <v>1.89</v>
      </c>
      <c r="O689" s="19" t="n">
        <v>30.24</v>
      </c>
      <c r="P689" s="17" t="s">
        <v>33</v>
      </c>
      <c r="Q689" s="20" t="n">
        <f aca="false">DATE(D689,C689,B689)</f>
        <v>44908</v>
      </c>
      <c r="R689" s="17" t="str">
        <f aca="false">IF(HOUR(E689)&lt;6,"Madrugada (0-5 h)",IF(HOUR(E689)&lt;12,"Mañana (6-11 h)",IF(HOUR(E689)&lt;18,"Tarde (12-17 h)","Noche (18-23 h)")))</f>
        <v>Noche (18-23 h)</v>
      </c>
    </row>
    <row r="690" customFormat="false" ht="15" hidden="false" customHeight="false" outlineLevel="0" collapsed="false">
      <c r="A690" s="17" t="n">
        <v>1689</v>
      </c>
      <c r="B690" s="17" t="n">
        <v>17</v>
      </c>
      <c r="C690" s="17" t="n">
        <v>5</v>
      </c>
      <c r="D690" s="17" t="n">
        <v>2022</v>
      </c>
      <c r="E690" s="18" t="n">
        <v>0.143425925925926</v>
      </c>
      <c r="F690" s="17" t="n">
        <v>1324</v>
      </c>
      <c r="G690" s="17" t="s">
        <v>365</v>
      </c>
      <c r="H690" s="17" t="s">
        <v>366</v>
      </c>
      <c r="I690" s="17" t="s">
        <v>367</v>
      </c>
      <c r="J690" s="17" t="s">
        <v>368</v>
      </c>
      <c r="K690" s="17" t="n">
        <v>45</v>
      </c>
      <c r="L690" s="17" t="s">
        <v>81</v>
      </c>
      <c r="M690" s="17" t="s">
        <v>32</v>
      </c>
      <c r="N690" s="19" t="n">
        <v>2.3</v>
      </c>
      <c r="O690" s="19" t="n">
        <v>103.5</v>
      </c>
      <c r="P690" s="17" t="s">
        <v>33</v>
      </c>
      <c r="Q690" s="20" t="n">
        <f aca="false">DATE(D690,C690,B690)</f>
        <v>44698</v>
      </c>
      <c r="R690" s="17" t="str">
        <f aca="false">IF(HOUR(E690)&lt;6,"Madrugada (0-5 h)",IF(HOUR(E690)&lt;12,"Mañana (6-11 h)",IF(HOUR(E690)&lt;18,"Tarde (12-17 h)","Noche (18-23 h)")))</f>
        <v>Madrugada (0-5 h)</v>
      </c>
    </row>
    <row r="691" customFormat="false" ht="15" hidden="false" customHeight="false" outlineLevel="0" collapsed="false">
      <c r="A691" s="17" t="n">
        <v>1690</v>
      </c>
      <c r="B691" s="17" t="n">
        <v>2</v>
      </c>
      <c r="C691" s="17" t="n">
        <v>7</v>
      </c>
      <c r="D691" s="17" t="n">
        <v>2021</v>
      </c>
      <c r="E691" s="18" t="n">
        <v>0.544965277777778</v>
      </c>
      <c r="F691" s="17" t="n">
        <v>2832</v>
      </c>
      <c r="G691" s="17" t="s">
        <v>369</v>
      </c>
      <c r="H691" s="17" t="s">
        <v>370</v>
      </c>
      <c r="I691" s="17" t="s">
        <v>371</v>
      </c>
      <c r="J691" s="17" t="s">
        <v>372</v>
      </c>
      <c r="K691" s="17" t="n">
        <v>4</v>
      </c>
      <c r="L691" s="17" t="s">
        <v>81</v>
      </c>
      <c r="M691" s="17" t="s">
        <v>32</v>
      </c>
      <c r="N691" s="19" t="n">
        <v>6.76</v>
      </c>
      <c r="O691" s="19" t="n">
        <v>27.04</v>
      </c>
      <c r="P691" s="17" t="s">
        <v>33</v>
      </c>
      <c r="Q691" s="20" t="n">
        <f aca="false">DATE(D691,C691,B691)</f>
        <v>44379</v>
      </c>
      <c r="R691" s="17" t="str">
        <f aca="false">IF(HOUR(E691)&lt;6,"Madrugada (0-5 h)",IF(HOUR(E691)&lt;12,"Mañana (6-11 h)",IF(HOUR(E691)&lt;18,"Tarde (12-17 h)","Noche (18-23 h)")))</f>
        <v>Tarde (12-17 h)</v>
      </c>
    </row>
    <row r="692" customFormat="false" ht="15" hidden="false" customHeight="false" outlineLevel="0" collapsed="false">
      <c r="A692" s="17" t="n">
        <v>1691</v>
      </c>
      <c r="B692" s="17" t="n">
        <v>27</v>
      </c>
      <c r="C692" s="17" t="n">
        <v>1</v>
      </c>
      <c r="D692" s="17" t="n">
        <v>2022</v>
      </c>
      <c r="E692" s="18" t="n">
        <v>0.816215277777778</v>
      </c>
      <c r="F692" s="17" t="n">
        <v>3655</v>
      </c>
      <c r="G692" s="17" t="s">
        <v>373</v>
      </c>
      <c r="H692" s="17" t="s">
        <v>374</v>
      </c>
      <c r="I692" s="17" t="s">
        <v>375</v>
      </c>
      <c r="J692" s="17" t="s">
        <v>376</v>
      </c>
      <c r="K692" s="17" t="n">
        <v>27</v>
      </c>
      <c r="L692" s="17" t="s">
        <v>81</v>
      </c>
      <c r="M692" s="17" t="s">
        <v>32</v>
      </c>
      <c r="N692" s="19" t="n">
        <v>7.3</v>
      </c>
      <c r="O692" s="19" t="n">
        <v>197.1</v>
      </c>
      <c r="P692" s="17" t="s">
        <v>43</v>
      </c>
      <c r="Q692" s="20" t="n">
        <f aca="false">DATE(D692,C692,B692)</f>
        <v>44588</v>
      </c>
      <c r="R692" s="17" t="str">
        <f aca="false">IF(HOUR(E692)&lt;6,"Madrugada (0-5 h)",IF(HOUR(E692)&lt;12,"Mañana (6-11 h)",IF(HOUR(E692)&lt;18,"Tarde (12-17 h)","Noche (18-23 h)")))</f>
        <v>Noche (18-23 h)</v>
      </c>
    </row>
    <row r="693" customFormat="false" ht="15" hidden="false" customHeight="false" outlineLevel="0" collapsed="false">
      <c r="A693" s="17" t="n">
        <v>1692</v>
      </c>
      <c r="B693" s="17" t="n">
        <v>12</v>
      </c>
      <c r="C693" s="17" t="n">
        <v>12</v>
      </c>
      <c r="D693" s="17" t="n">
        <v>2022</v>
      </c>
      <c r="E693" s="18" t="n">
        <v>0.614398148148148</v>
      </c>
      <c r="F693" s="17" t="n">
        <v>2852</v>
      </c>
      <c r="G693" s="17" t="s">
        <v>377</v>
      </c>
      <c r="H693" s="17" t="s">
        <v>137</v>
      </c>
      <c r="I693" s="17" t="s">
        <v>464</v>
      </c>
      <c r="J693" s="17" t="s">
        <v>379</v>
      </c>
      <c r="K693" s="17" t="n">
        <v>20</v>
      </c>
      <c r="L693" s="17" t="s">
        <v>81</v>
      </c>
      <c r="M693" s="17" t="s">
        <v>32</v>
      </c>
      <c r="N693" s="19" t="n">
        <v>6.3</v>
      </c>
      <c r="O693" s="19" t="n">
        <v>126</v>
      </c>
      <c r="P693" s="17" t="s">
        <v>33</v>
      </c>
      <c r="Q693" s="20" t="n">
        <f aca="false">DATE(D693,C693,B693)</f>
        <v>44907</v>
      </c>
      <c r="R693" s="17" t="str">
        <f aca="false">IF(HOUR(E693)&lt;6,"Madrugada (0-5 h)",IF(HOUR(E693)&lt;12,"Mañana (6-11 h)",IF(HOUR(E693)&lt;18,"Tarde (12-17 h)","Noche (18-23 h)")))</f>
        <v>Tarde (12-17 h)</v>
      </c>
    </row>
    <row r="694" customFormat="false" ht="15" hidden="false" customHeight="false" outlineLevel="0" collapsed="false">
      <c r="A694" s="17" t="n">
        <v>1693</v>
      </c>
      <c r="B694" s="17" t="n">
        <v>6</v>
      </c>
      <c r="C694" s="17" t="n">
        <v>9</v>
      </c>
      <c r="D694" s="17" t="n">
        <v>2021</v>
      </c>
      <c r="E694" s="18" t="n">
        <v>0.969756944444445</v>
      </c>
      <c r="F694" s="17" t="n">
        <v>4605</v>
      </c>
      <c r="G694" s="17" t="s">
        <v>380</v>
      </c>
      <c r="H694" s="17" t="s">
        <v>333</v>
      </c>
      <c r="I694" s="17" t="s">
        <v>381</v>
      </c>
      <c r="J694" s="17" t="s">
        <v>382</v>
      </c>
      <c r="K694" s="17" t="n">
        <v>8</v>
      </c>
      <c r="L694" s="17" t="s">
        <v>81</v>
      </c>
      <c r="M694" s="17" t="s">
        <v>76</v>
      </c>
      <c r="N694" s="19" t="n">
        <v>5.23</v>
      </c>
      <c r="O694" s="19" t="n">
        <v>41.84</v>
      </c>
      <c r="P694" s="17" t="s">
        <v>33</v>
      </c>
      <c r="Q694" s="20" t="n">
        <f aca="false">DATE(D694,C694,B694)</f>
        <v>44445</v>
      </c>
      <c r="R694" s="17" t="str">
        <f aca="false">IF(HOUR(E694)&lt;6,"Madrugada (0-5 h)",IF(HOUR(E694)&lt;12,"Mañana (6-11 h)",IF(HOUR(E694)&lt;18,"Tarde (12-17 h)","Noche (18-23 h)")))</f>
        <v>Noche (18-23 h)</v>
      </c>
    </row>
    <row r="695" customFormat="false" ht="15" hidden="false" customHeight="false" outlineLevel="0" collapsed="false">
      <c r="A695" s="17" t="n">
        <v>1694</v>
      </c>
      <c r="B695" s="17" t="n">
        <v>2</v>
      </c>
      <c r="C695" s="17" t="n">
        <v>10</v>
      </c>
      <c r="D695" s="17" t="n">
        <v>2021</v>
      </c>
      <c r="E695" s="18" t="n">
        <v>0.839097222222222</v>
      </c>
      <c r="F695" s="17" t="n">
        <v>4389</v>
      </c>
      <c r="G695" s="17" t="s">
        <v>383</v>
      </c>
      <c r="H695" s="17" t="s">
        <v>384</v>
      </c>
      <c r="I695" s="17" t="s">
        <v>385</v>
      </c>
      <c r="J695" s="17" t="s">
        <v>386</v>
      </c>
      <c r="K695" s="17" t="n">
        <v>21</v>
      </c>
      <c r="L695" s="17" t="s">
        <v>31</v>
      </c>
      <c r="M695" s="17" t="s">
        <v>32</v>
      </c>
      <c r="N695" s="19" t="n">
        <v>2.01</v>
      </c>
      <c r="O695" s="19" t="n">
        <v>42.21</v>
      </c>
      <c r="P695" s="17" t="s">
        <v>33</v>
      </c>
      <c r="Q695" s="20" t="n">
        <f aca="false">DATE(D695,C695,B695)</f>
        <v>44471</v>
      </c>
      <c r="R695" s="17" t="str">
        <f aca="false">IF(HOUR(E695)&lt;6,"Madrugada (0-5 h)",IF(HOUR(E695)&lt;12,"Mañana (6-11 h)",IF(HOUR(E695)&lt;18,"Tarde (12-17 h)","Noche (18-23 h)")))</f>
        <v>Noche (18-23 h)</v>
      </c>
    </row>
    <row r="696" customFormat="false" ht="15" hidden="false" customHeight="false" outlineLevel="0" collapsed="false">
      <c r="A696" s="17" t="n">
        <v>1695</v>
      </c>
      <c r="B696" s="17" t="n">
        <v>20</v>
      </c>
      <c r="C696" s="17" t="n">
        <v>7</v>
      </c>
      <c r="D696" s="17" t="n">
        <v>2021</v>
      </c>
      <c r="E696" s="18" t="n">
        <v>0.534201388888889</v>
      </c>
      <c r="F696" s="17" t="n">
        <v>2024</v>
      </c>
      <c r="G696" s="17" t="s">
        <v>387</v>
      </c>
      <c r="H696" s="17" t="s">
        <v>465</v>
      </c>
      <c r="I696" s="17" t="s">
        <v>389</v>
      </c>
      <c r="J696" s="17" t="s">
        <v>390</v>
      </c>
      <c r="K696" s="17" t="n">
        <v>15</v>
      </c>
      <c r="L696" s="17" t="s">
        <v>61</v>
      </c>
      <c r="M696" s="17" t="s">
        <v>32</v>
      </c>
      <c r="N696" s="19" t="n">
        <v>14.37</v>
      </c>
      <c r="O696" s="19" t="n">
        <v>215.55</v>
      </c>
      <c r="P696" s="17" t="s">
        <v>33</v>
      </c>
      <c r="Q696" s="20" t="n">
        <f aca="false">DATE(D696,C696,B696)</f>
        <v>44397</v>
      </c>
      <c r="R696" s="17" t="str">
        <f aca="false">IF(HOUR(E696)&lt;6,"Madrugada (0-5 h)",IF(HOUR(E696)&lt;12,"Mañana (6-11 h)",IF(HOUR(E696)&lt;18,"Tarde (12-17 h)","Noche (18-23 h)")))</f>
        <v>Tarde (12-17 h)</v>
      </c>
    </row>
    <row r="697" customFormat="false" ht="15" hidden="false" customHeight="false" outlineLevel="0" collapsed="false">
      <c r="A697" s="17" t="n">
        <v>1696</v>
      </c>
      <c r="B697" s="17" t="n">
        <v>18</v>
      </c>
      <c r="C697" s="17" t="n">
        <v>4</v>
      </c>
      <c r="D697" s="17" t="n">
        <v>2021</v>
      </c>
      <c r="E697" s="18" t="n">
        <v>0.0297337962962963</v>
      </c>
      <c r="F697" s="17" t="n">
        <v>3817</v>
      </c>
      <c r="G697" s="17" t="s">
        <v>391</v>
      </c>
      <c r="H697" s="17" t="s">
        <v>392</v>
      </c>
      <c r="I697" s="17" t="s">
        <v>393</v>
      </c>
      <c r="J697" s="17" t="s">
        <v>394</v>
      </c>
      <c r="K697" s="17" t="n">
        <v>7</v>
      </c>
      <c r="L697" s="17" t="s">
        <v>61</v>
      </c>
      <c r="M697" s="17" t="s">
        <v>32</v>
      </c>
      <c r="N697" s="19" t="n">
        <v>2.03</v>
      </c>
      <c r="O697" s="19" t="n">
        <v>14.21</v>
      </c>
      <c r="P697" s="17" t="s">
        <v>33</v>
      </c>
      <c r="Q697" s="20" t="n">
        <f aca="false">DATE(D697,C697,B697)</f>
        <v>44304</v>
      </c>
      <c r="R697" s="17" t="str">
        <f aca="false">IF(HOUR(E697)&lt;6,"Madrugada (0-5 h)",IF(HOUR(E697)&lt;12,"Mañana (6-11 h)",IF(HOUR(E697)&lt;18,"Tarde (12-17 h)","Noche (18-23 h)")))</f>
        <v>Madrugada (0-5 h)</v>
      </c>
    </row>
    <row r="698" customFormat="false" ht="15" hidden="false" customHeight="false" outlineLevel="0" collapsed="false">
      <c r="A698" s="17" t="n">
        <v>1697</v>
      </c>
      <c r="B698" s="17" t="n">
        <v>1</v>
      </c>
      <c r="C698" s="17" t="n">
        <v>5</v>
      </c>
      <c r="D698" s="17" t="n">
        <v>2021</v>
      </c>
      <c r="E698" s="18" t="n">
        <v>0.131782407407407</v>
      </c>
      <c r="F698" s="17" t="n">
        <v>4712</v>
      </c>
      <c r="G698" s="17" t="s">
        <v>395</v>
      </c>
      <c r="H698" s="17" t="s">
        <v>396</v>
      </c>
      <c r="I698" s="17" t="s">
        <v>397</v>
      </c>
      <c r="J698" s="17" t="s">
        <v>398</v>
      </c>
      <c r="K698" s="17" t="n">
        <v>1</v>
      </c>
      <c r="L698" s="17" t="s">
        <v>61</v>
      </c>
      <c r="M698" s="17" t="s">
        <v>32</v>
      </c>
      <c r="N698" s="19" t="n">
        <v>16.45</v>
      </c>
      <c r="O698" s="19" t="n">
        <v>16.45</v>
      </c>
      <c r="P698" s="17" t="s">
        <v>33</v>
      </c>
      <c r="Q698" s="20" t="n">
        <f aca="false">DATE(D698,C698,B698)</f>
        <v>44317</v>
      </c>
      <c r="R698" s="17" t="str">
        <f aca="false">IF(HOUR(E698)&lt;6,"Madrugada (0-5 h)",IF(HOUR(E698)&lt;12,"Mañana (6-11 h)",IF(HOUR(E698)&lt;18,"Tarde (12-17 h)","Noche (18-23 h)")))</f>
        <v>Madrugada (0-5 h)</v>
      </c>
    </row>
    <row r="699" customFormat="false" ht="15" hidden="false" customHeight="false" outlineLevel="0" collapsed="false">
      <c r="A699" s="17" t="n">
        <v>1698</v>
      </c>
      <c r="B699" s="17" t="n">
        <v>23</v>
      </c>
      <c r="C699" s="17" t="n">
        <v>9</v>
      </c>
      <c r="D699" s="17" t="n">
        <v>2021</v>
      </c>
      <c r="E699" s="18" t="n">
        <v>0.777349537037037</v>
      </c>
      <c r="F699" s="17" t="n">
        <v>4508</v>
      </c>
      <c r="G699" s="17" t="s">
        <v>399</v>
      </c>
      <c r="H699" s="17" t="s">
        <v>400</v>
      </c>
      <c r="I699" s="17" t="s">
        <v>401</v>
      </c>
      <c r="J699" s="17" t="s">
        <v>402</v>
      </c>
      <c r="K699" s="17" t="n">
        <v>3</v>
      </c>
      <c r="L699" s="17" t="s">
        <v>98</v>
      </c>
      <c r="M699" s="17" t="s">
        <v>32</v>
      </c>
      <c r="N699" s="19" t="n">
        <v>15.52</v>
      </c>
      <c r="O699" s="19" t="n">
        <v>46.56</v>
      </c>
      <c r="P699" s="17" t="s">
        <v>43</v>
      </c>
      <c r="Q699" s="20" t="n">
        <f aca="false">DATE(D699,C699,B699)</f>
        <v>44462</v>
      </c>
      <c r="R699" s="17" t="str">
        <f aca="false">IF(HOUR(E699)&lt;6,"Madrugada (0-5 h)",IF(HOUR(E699)&lt;12,"Mañana (6-11 h)",IF(HOUR(E699)&lt;18,"Tarde (12-17 h)","Noche (18-23 h)")))</f>
        <v>Noche (18-23 h)</v>
      </c>
    </row>
    <row r="700" customFormat="false" ht="15" hidden="false" customHeight="false" outlineLevel="0" collapsed="false">
      <c r="A700" s="17" t="n">
        <v>1699</v>
      </c>
      <c r="B700" s="17" t="n">
        <v>9</v>
      </c>
      <c r="C700" s="17" t="n">
        <v>5</v>
      </c>
      <c r="D700" s="17" t="n">
        <v>2021</v>
      </c>
      <c r="E700" s="18" t="n">
        <v>0.893854166666667</v>
      </c>
      <c r="F700" s="17" t="n">
        <v>1927</v>
      </c>
      <c r="G700" s="17" t="s">
        <v>403</v>
      </c>
      <c r="H700" s="17" t="s">
        <v>404</v>
      </c>
      <c r="I700" s="17" t="s">
        <v>405</v>
      </c>
      <c r="J700" s="17" t="s">
        <v>406</v>
      </c>
      <c r="K700" s="17" t="n">
        <v>18</v>
      </c>
      <c r="L700" s="17" t="s">
        <v>31</v>
      </c>
      <c r="M700" s="17" t="s">
        <v>333</v>
      </c>
      <c r="N700" s="19" t="n">
        <v>5.98</v>
      </c>
      <c r="O700" s="19" t="n">
        <v>107.64</v>
      </c>
      <c r="P700" s="17" t="s">
        <v>43</v>
      </c>
      <c r="Q700" s="20" t="n">
        <f aca="false">DATE(D700,C700,B700)</f>
        <v>44325</v>
      </c>
      <c r="R700" s="17" t="str">
        <f aca="false">IF(HOUR(E700)&lt;6,"Madrugada (0-5 h)",IF(HOUR(E700)&lt;12,"Mañana (6-11 h)",IF(HOUR(E700)&lt;18,"Tarde (12-17 h)","Noche (18-23 h)")))</f>
        <v>Noche (18-23 h)</v>
      </c>
    </row>
    <row r="701" customFormat="false" ht="15" hidden="false" customHeight="false" outlineLevel="0" collapsed="false">
      <c r="A701" s="17" t="n">
        <v>1700</v>
      </c>
      <c r="B701" s="17" t="n">
        <v>28</v>
      </c>
      <c r="C701" s="17" t="n">
        <v>11</v>
      </c>
      <c r="D701" s="17" t="n">
        <v>2021</v>
      </c>
      <c r="E701" s="18" t="n">
        <v>0.187048611111111</v>
      </c>
      <c r="F701" s="17" t="n">
        <v>1818</v>
      </c>
      <c r="G701" s="17" t="s">
        <v>407</v>
      </c>
      <c r="H701" s="17" t="s">
        <v>408</v>
      </c>
      <c r="I701" s="17" t="s">
        <v>409</v>
      </c>
      <c r="J701" s="17" t="s">
        <v>410</v>
      </c>
      <c r="K701" s="17" t="n">
        <v>31</v>
      </c>
      <c r="L701" s="17" t="s">
        <v>81</v>
      </c>
      <c r="M701" s="17" t="s">
        <v>333</v>
      </c>
      <c r="N701" s="19" t="n">
        <v>0.5</v>
      </c>
      <c r="O701" s="19" t="n">
        <v>15.5</v>
      </c>
      <c r="P701" s="17" t="s">
        <v>33</v>
      </c>
      <c r="Q701" s="20" t="n">
        <f aca="false">DATE(D701,C701,B701)</f>
        <v>44528</v>
      </c>
      <c r="R701" s="17" t="str">
        <f aca="false">IF(HOUR(E701)&lt;6,"Madrugada (0-5 h)",IF(HOUR(E701)&lt;12,"Mañana (6-11 h)",IF(HOUR(E701)&lt;18,"Tarde (12-17 h)","Noche (18-23 h)")))</f>
        <v>Madrugada (0-5 h)</v>
      </c>
    </row>
    <row r="702" customFormat="false" ht="15" hidden="false" customHeight="false" outlineLevel="0" collapsed="false">
      <c r="A702" s="17" t="n">
        <v>1701</v>
      </c>
      <c r="B702" s="17" t="n">
        <v>26</v>
      </c>
      <c r="C702" s="17" t="n">
        <v>10</v>
      </c>
      <c r="D702" s="17" t="n">
        <v>2020</v>
      </c>
      <c r="E702" s="18" t="n">
        <v>0.235219907407407</v>
      </c>
      <c r="F702" s="17" t="n">
        <v>4957</v>
      </c>
      <c r="G702" s="17" t="s">
        <v>27</v>
      </c>
      <c r="H702" s="17" t="s">
        <v>28</v>
      </c>
      <c r="I702" s="17" t="s">
        <v>29</v>
      </c>
      <c r="J702" s="17" t="s">
        <v>30</v>
      </c>
      <c r="K702" s="17" t="n">
        <v>18</v>
      </c>
      <c r="L702" s="17" t="s">
        <v>31</v>
      </c>
      <c r="M702" s="17" t="s">
        <v>32</v>
      </c>
      <c r="N702" s="19" t="n">
        <v>3.56</v>
      </c>
      <c r="O702" s="19" t="n">
        <v>64.08</v>
      </c>
      <c r="P702" s="17" t="s">
        <v>33</v>
      </c>
      <c r="Q702" s="20" t="n">
        <f aca="false">DATE(D702,C702,B702)</f>
        <v>44130</v>
      </c>
      <c r="R702" s="17" t="str">
        <f aca="false">IF(HOUR(E702)&lt;6,"Madrugada (0-5 h)",IF(HOUR(E702)&lt;12,"Mañana (6-11 h)",IF(HOUR(E702)&lt;18,"Tarde (12-17 h)","Noche (18-23 h)")))</f>
        <v>Madrugada (0-5 h)</v>
      </c>
    </row>
    <row r="703" customFormat="false" ht="15" hidden="false" customHeight="false" outlineLevel="0" collapsed="false">
      <c r="A703" s="17" t="n">
        <v>1702</v>
      </c>
      <c r="B703" s="17" t="n">
        <v>25</v>
      </c>
      <c r="C703" s="17" t="n">
        <v>1</v>
      </c>
      <c r="D703" s="17" t="n">
        <v>2021</v>
      </c>
      <c r="E703" s="18" t="n">
        <v>0.328425925925926</v>
      </c>
      <c r="F703" s="17" t="n">
        <v>1189</v>
      </c>
      <c r="G703" s="17" t="s">
        <v>34</v>
      </c>
      <c r="H703" s="17" t="s">
        <v>35</v>
      </c>
      <c r="I703" s="17" t="s">
        <v>36</v>
      </c>
      <c r="J703" s="17" t="s">
        <v>37</v>
      </c>
      <c r="K703" s="17" t="n">
        <v>45</v>
      </c>
      <c r="L703" s="17" t="s">
        <v>31</v>
      </c>
      <c r="M703" s="17" t="s">
        <v>32</v>
      </c>
      <c r="N703" s="19" t="n">
        <v>3.21</v>
      </c>
      <c r="O703" s="19" t="n">
        <v>144.45</v>
      </c>
      <c r="P703" s="17" t="s">
        <v>33</v>
      </c>
      <c r="Q703" s="20" t="n">
        <f aca="false">DATE(D703,C703,B703)</f>
        <v>44221</v>
      </c>
      <c r="R703" s="17" t="str">
        <f aca="false">IF(HOUR(E703)&lt;6,"Madrugada (0-5 h)",IF(HOUR(E703)&lt;12,"Mañana (6-11 h)",IF(HOUR(E703)&lt;18,"Tarde (12-17 h)","Noche (18-23 h)")))</f>
        <v>Mañana (6-11 h)</v>
      </c>
    </row>
    <row r="704" customFormat="false" ht="15" hidden="false" customHeight="false" outlineLevel="0" collapsed="false">
      <c r="A704" s="17" t="n">
        <v>1703</v>
      </c>
      <c r="B704" s="17" t="n">
        <v>9</v>
      </c>
      <c r="C704" s="17" t="n">
        <v>2</v>
      </c>
      <c r="D704" s="17" t="n">
        <v>2022</v>
      </c>
      <c r="E704" s="18" t="n">
        <v>0.941354166666667</v>
      </c>
      <c r="F704" s="17" t="n">
        <v>4141</v>
      </c>
      <c r="G704" s="17" t="s">
        <v>38</v>
      </c>
      <c r="H704" s="17" t="s">
        <v>466</v>
      </c>
      <c r="I704" s="17" t="s">
        <v>40</v>
      </c>
      <c r="J704" s="17" t="s">
        <v>41</v>
      </c>
      <c r="K704" s="17" t="n">
        <v>1</v>
      </c>
      <c r="L704" s="17" t="s">
        <v>42</v>
      </c>
      <c r="M704" s="17" t="s">
        <v>32</v>
      </c>
      <c r="N704" s="19" t="n">
        <v>12.36</v>
      </c>
      <c r="O704" s="19" t="n">
        <v>12.36</v>
      </c>
      <c r="P704" s="17" t="s">
        <v>43</v>
      </c>
      <c r="Q704" s="20" t="n">
        <f aca="false">DATE(D704,C704,B704)</f>
        <v>44601</v>
      </c>
      <c r="R704" s="17" t="str">
        <f aca="false">IF(HOUR(E704)&lt;6,"Madrugada (0-5 h)",IF(HOUR(E704)&lt;12,"Mañana (6-11 h)",IF(HOUR(E704)&lt;18,"Tarde (12-17 h)","Noche (18-23 h)")))</f>
        <v>Noche (18-23 h)</v>
      </c>
    </row>
    <row r="705" customFormat="false" ht="15" hidden="false" customHeight="false" outlineLevel="0" collapsed="false">
      <c r="A705" s="17" t="n">
        <v>1704</v>
      </c>
      <c r="B705" s="17" t="n">
        <v>28</v>
      </c>
      <c r="C705" s="17" t="n">
        <v>7</v>
      </c>
      <c r="D705" s="17" t="n">
        <v>2021</v>
      </c>
      <c r="E705" s="18" t="n">
        <v>0.65</v>
      </c>
      <c r="F705" s="17" t="n">
        <v>1738</v>
      </c>
      <c r="G705" s="17" t="s">
        <v>44</v>
      </c>
      <c r="H705" s="17" t="s">
        <v>45</v>
      </c>
      <c r="I705" s="17" t="s">
        <v>46</v>
      </c>
      <c r="J705" s="17" t="s">
        <v>47</v>
      </c>
      <c r="K705" s="17" t="n">
        <v>38</v>
      </c>
      <c r="L705" s="17" t="s">
        <v>31</v>
      </c>
      <c r="M705" s="17" t="s">
        <v>48</v>
      </c>
      <c r="N705" s="19" t="n">
        <v>10.03</v>
      </c>
      <c r="O705" s="19" t="n">
        <v>381.14</v>
      </c>
      <c r="P705" s="17" t="s">
        <v>33</v>
      </c>
      <c r="Q705" s="20" t="n">
        <f aca="false">DATE(D705,C705,B705)</f>
        <v>44405</v>
      </c>
      <c r="R705" s="17" t="str">
        <f aca="false">IF(HOUR(E705)&lt;6,"Madrugada (0-5 h)",IF(HOUR(E705)&lt;12,"Mañana (6-11 h)",IF(HOUR(E705)&lt;18,"Tarde (12-17 h)","Noche (18-23 h)")))</f>
        <v>Tarde (12-17 h)</v>
      </c>
    </row>
    <row r="706" customFormat="false" ht="15" hidden="false" customHeight="false" outlineLevel="0" collapsed="false">
      <c r="A706" s="17" t="n">
        <v>1705</v>
      </c>
      <c r="B706" s="17" t="n">
        <v>5</v>
      </c>
      <c r="C706" s="17" t="n">
        <v>5</v>
      </c>
      <c r="D706" s="17" t="n">
        <v>2022</v>
      </c>
      <c r="E706" s="18" t="n">
        <v>0.253888888888889</v>
      </c>
      <c r="F706" s="17" t="n">
        <v>1665</v>
      </c>
      <c r="G706" s="17" t="s">
        <v>49</v>
      </c>
      <c r="H706" s="17" t="s">
        <v>50</v>
      </c>
      <c r="I706" s="17" t="s">
        <v>51</v>
      </c>
      <c r="J706" s="17" t="s">
        <v>52</v>
      </c>
      <c r="K706" s="17" t="n">
        <v>45</v>
      </c>
      <c r="L706" s="17" t="s">
        <v>31</v>
      </c>
      <c r="M706" s="17" t="s">
        <v>48</v>
      </c>
      <c r="N706" s="19" t="n">
        <v>16.05</v>
      </c>
      <c r="O706" s="19" t="n">
        <v>722.25</v>
      </c>
      <c r="P706" s="17" t="s">
        <v>33</v>
      </c>
      <c r="Q706" s="20" t="n">
        <f aca="false">DATE(D706,C706,B706)</f>
        <v>44686</v>
      </c>
      <c r="R706" s="17" t="str">
        <f aca="false">IF(HOUR(E706)&lt;6,"Madrugada (0-5 h)",IF(HOUR(E706)&lt;12,"Mañana (6-11 h)",IF(HOUR(E706)&lt;18,"Tarde (12-17 h)","Noche (18-23 h)")))</f>
        <v>Mañana (6-11 h)</v>
      </c>
    </row>
    <row r="707" customFormat="false" ht="15" hidden="false" customHeight="false" outlineLevel="0" collapsed="false">
      <c r="A707" s="17" t="n">
        <v>1706</v>
      </c>
      <c r="B707" s="17" t="n">
        <v>16</v>
      </c>
      <c r="C707" s="17" t="n">
        <v>3</v>
      </c>
      <c r="D707" s="17" t="n">
        <v>2022</v>
      </c>
      <c r="E707" s="18" t="n">
        <v>0.701782407407407</v>
      </c>
      <c r="F707" s="17" t="n">
        <v>3771</v>
      </c>
      <c r="G707" s="17" t="s">
        <v>53</v>
      </c>
      <c r="H707" s="17" t="s">
        <v>54</v>
      </c>
      <c r="I707" s="17" t="s">
        <v>55</v>
      </c>
      <c r="J707" s="17" t="s">
        <v>56</v>
      </c>
      <c r="K707" s="17" t="n">
        <v>11</v>
      </c>
      <c r="L707" s="17" t="s">
        <v>31</v>
      </c>
      <c r="M707" s="17" t="s">
        <v>48</v>
      </c>
      <c r="N707" s="19" t="n">
        <v>16.5</v>
      </c>
      <c r="O707" s="19" t="n">
        <v>181.5</v>
      </c>
      <c r="P707" s="17" t="s">
        <v>33</v>
      </c>
      <c r="Q707" s="20" t="n">
        <f aca="false">DATE(D707,C707,B707)</f>
        <v>44636</v>
      </c>
      <c r="R707" s="17" t="str">
        <f aca="false">IF(HOUR(E707)&lt;6,"Madrugada (0-5 h)",IF(HOUR(E707)&lt;12,"Mañana (6-11 h)",IF(HOUR(E707)&lt;18,"Tarde (12-17 h)","Noche (18-23 h)")))</f>
        <v>Tarde (12-17 h)</v>
      </c>
    </row>
    <row r="708" customFormat="false" ht="15" hidden="false" customHeight="false" outlineLevel="0" collapsed="false">
      <c r="A708" s="17" t="n">
        <v>1707</v>
      </c>
      <c r="B708" s="17" t="n">
        <v>22</v>
      </c>
      <c r="C708" s="17" t="n">
        <v>1</v>
      </c>
      <c r="D708" s="17" t="n">
        <v>2022</v>
      </c>
      <c r="E708" s="18" t="n">
        <v>0.722488425925926</v>
      </c>
      <c r="F708" s="17" t="n">
        <v>3034</v>
      </c>
      <c r="G708" s="17" t="s">
        <v>57</v>
      </c>
      <c r="H708" s="17" t="s">
        <v>58</v>
      </c>
      <c r="I708" s="17" t="s">
        <v>59</v>
      </c>
      <c r="J708" s="17" t="s">
        <v>60</v>
      </c>
      <c r="K708" s="17" t="n">
        <v>36</v>
      </c>
      <c r="L708" s="17" t="s">
        <v>61</v>
      </c>
      <c r="M708" s="17" t="s">
        <v>62</v>
      </c>
      <c r="N708" s="19" t="n">
        <v>4.13</v>
      </c>
      <c r="O708" s="19" t="n">
        <v>148.68</v>
      </c>
      <c r="P708" s="17" t="s">
        <v>43</v>
      </c>
      <c r="Q708" s="20" t="n">
        <f aca="false">DATE(D708,C708,B708)</f>
        <v>44583</v>
      </c>
      <c r="R708" s="17" t="str">
        <f aca="false">IF(HOUR(E708)&lt;6,"Madrugada (0-5 h)",IF(HOUR(E708)&lt;12,"Mañana (6-11 h)",IF(HOUR(E708)&lt;18,"Tarde (12-17 h)","Noche (18-23 h)")))</f>
        <v>Tarde (12-17 h)</v>
      </c>
    </row>
    <row r="709" customFormat="false" ht="15" hidden="false" customHeight="false" outlineLevel="0" collapsed="false">
      <c r="A709" s="17" t="n">
        <v>1708</v>
      </c>
      <c r="B709" s="17" t="n">
        <v>2</v>
      </c>
      <c r="C709" s="17" t="n">
        <v>8</v>
      </c>
      <c r="D709" s="17" t="n">
        <v>2021</v>
      </c>
      <c r="E709" s="18" t="n">
        <v>0.928287037037037</v>
      </c>
      <c r="F709" s="17" t="n">
        <v>2139</v>
      </c>
      <c r="G709" s="17" t="s">
        <v>63</v>
      </c>
      <c r="H709" s="17" t="s">
        <v>64</v>
      </c>
      <c r="I709" s="17" t="s">
        <v>65</v>
      </c>
      <c r="J709" s="17" t="s">
        <v>66</v>
      </c>
      <c r="K709" s="17" t="n">
        <v>17</v>
      </c>
      <c r="L709" s="17" t="s">
        <v>61</v>
      </c>
      <c r="M709" s="17" t="s">
        <v>32</v>
      </c>
      <c r="N709" s="19" t="n">
        <v>11.5</v>
      </c>
      <c r="O709" s="19" t="n">
        <v>195.5</v>
      </c>
      <c r="P709" s="17" t="s">
        <v>33</v>
      </c>
      <c r="Q709" s="20" t="n">
        <f aca="false">DATE(D709,C709,B709)</f>
        <v>44410</v>
      </c>
      <c r="R709" s="17" t="str">
        <f aca="false">IF(HOUR(E709)&lt;6,"Madrugada (0-5 h)",IF(HOUR(E709)&lt;12,"Mañana (6-11 h)",IF(HOUR(E709)&lt;18,"Tarde (12-17 h)","Noche (18-23 h)")))</f>
        <v>Noche (18-23 h)</v>
      </c>
    </row>
    <row r="710" customFormat="false" ht="15" hidden="false" customHeight="false" outlineLevel="0" collapsed="false">
      <c r="A710" s="17" t="n">
        <v>1709</v>
      </c>
      <c r="B710" s="17" t="n">
        <v>3</v>
      </c>
      <c r="C710" s="17" t="n">
        <v>3</v>
      </c>
      <c r="D710" s="17" t="n">
        <v>2022</v>
      </c>
      <c r="E710" s="18" t="n">
        <v>0.80193287037037</v>
      </c>
      <c r="F710" s="17" t="n">
        <v>1215</v>
      </c>
      <c r="G710" s="17" t="s">
        <v>67</v>
      </c>
      <c r="H710" s="17" t="s">
        <v>68</v>
      </c>
      <c r="I710" s="17" t="s">
        <v>69</v>
      </c>
      <c r="J710" s="17" t="s">
        <v>70</v>
      </c>
      <c r="K710" s="17" t="n">
        <v>29</v>
      </c>
      <c r="L710" s="17" t="s">
        <v>31</v>
      </c>
      <c r="M710" s="17" t="s">
        <v>71</v>
      </c>
      <c r="N710" s="19" t="n">
        <v>5.5</v>
      </c>
      <c r="O710" s="19" t="n">
        <v>159.5</v>
      </c>
      <c r="P710" s="17" t="s">
        <v>33</v>
      </c>
      <c r="Q710" s="20" t="n">
        <f aca="false">DATE(D710,C710,B710)</f>
        <v>44623</v>
      </c>
      <c r="R710" s="17" t="str">
        <f aca="false">IF(HOUR(E710)&lt;6,"Madrugada (0-5 h)",IF(HOUR(E710)&lt;12,"Mañana (6-11 h)",IF(HOUR(E710)&lt;18,"Tarde (12-17 h)","Noche (18-23 h)")))</f>
        <v>Noche (18-23 h)</v>
      </c>
    </row>
    <row r="711" customFormat="false" ht="15" hidden="false" customHeight="false" outlineLevel="0" collapsed="false">
      <c r="A711" s="17" t="n">
        <v>1710</v>
      </c>
      <c r="B711" s="17" t="n">
        <v>14</v>
      </c>
      <c r="C711" s="17" t="n">
        <v>6</v>
      </c>
      <c r="D711" s="17" t="n">
        <v>2021</v>
      </c>
      <c r="E711" s="18" t="n">
        <v>0.929375</v>
      </c>
      <c r="F711" s="17" t="n">
        <v>3840</v>
      </c>
      <c r="G711" s="17" t="s">
        <v>72</v>
      </c>
      <c r="H711" s="17" t="s">
        <v>73</v>
      </c>
      <c r="I711" s="17" t="s">
        <v>74</v>
      </c>
      <c r="J711" s="17" t="s">
        <v>75</v>
      </c>
      <c r="K711" s="17" t="n">
        <v>39</v>
      </c>
      <c r="L711" s="17" t="s">
        <v>61</v>
      </c>
      <c r="M711" s="17" t="s">
        <v>76</v>
      </c>
      <c r="N711" s="19" t="n">
        <v>13.71</v>
      </c>
      <c r="O711" s="19" t="n">
        <v>534.69</v>
      </c>
      <c r="P711" s="17" t="s">
        <v>33</v>
      </c>
      <c r="Q711" s="20" t="n">
        <f aca="false">DATE(D711,C711,B711)</f>
        <v>44361</v>
      </c>
      <c r="R711" s="17" t="str">
        <f aca="false">IF(HOUR(E711)&lt;6,"Madrugada (0-5 h)",IF(HOUR(E711)&lt;12,"Mañana (6-11 h)",IF(HOUR(E711)&lt;18,"Tarde (12-17 h)","Noche (18-23 h)")))</f>
        <v>Noche (18-23 h)</v>
      </c>
    </row>
    <row r="712" customFormat="false" ht="15" hidden="false" customHeight="false" outlineLevel="0" collapsed="false">
      <c r="A712" s="17" t="n">
        <v>1711</v>
      </c>
      <c r="B712" s="17" t="n">
        <v>11</v>
      </c>
      <c r="C712" s="17" t="n">
        <v>8</v>
      </c>
      <c r="D712" s="17" t="n">
        <v>2021</v>
      </c>
      <c r="E712" s="18" t="n">
        <v>0.642696759259259</v>
      </c>
      <c r="F712" s="17" t="n">
        <v>4228</v>
      </c>
      <c r="G712" s="17" t="s">
        <v>77</v>
      </c>
      <c r="H712" s="17" t="s">
        <v>78</v>
      </c>
      <c r="I712" s="17" t="s">
        <v>79</v>
      </c>
      <c r="J712" s="17" t="s">
        <v>80</v>
      </c>
      <c r="K712" s="17" t="n">
        <v>36</v>
      </c>
      <c r="L712" s="17" t="s">
        <v>412</v>
      </c>
      <c r="M712" s="17" t="s">
        <v>82</v>
      </c>
      <c r="N712" s="19" t="n">
        <v>7.89</v>
      </c>
      <c r="O712" s="19" t="n">
        <v>284.04</v>
      </c>
      <c r="P712" s="17" t="s">
        <v>33</v>
      </c>
      <c r="Q712" s="20" t="n">
        <f aca="false">DATE(D712,C712,B712)</f>
        <v>44419</v>
      </c>
      <c r="R712" s="17" t="str">
        <f aca="false">IF(HOUR(E712)&lt;6,"Madrugada (0-5 h)",IF(HOUR(E712)&lt;12,"Mañana (6-11 h)",IF(HOUR(E712)&lt;18,"Tarde (12-17 h)","Noche (18-23 h)")))</f>
        <v>Tarde (12-17 h)</v>
      </c>
    </row>
    <row r="713" customFormat="false" ht="15" hidden="false" customHeight="false" outlineLevel="0" collapsed="false">
      <c r="A713" s="17" t="n">
        <v>1712</v>
      </c>
      <c r="B713" s="17" t="n">
        <v>22</v>
      </c>
      <c r="C713" s="17" t="n">
        <v>3</v>
      </c>
      <c r="D713" s="17" t="n">
        <v>2021</v>
      </c>
      <c r="E713" s="18" t="n">
        <v>0.828148148148148</v>
      </c>
      <c r="F713" s="17" t="n">
        <v>1966</v>
      </c>
      <c r="G713" s="17" t="s">
        <v>83</v>
      </c>
      <c r="H713" s="17" t="s">
        <v>84</v>
      </c>
      <c r="I713" s="17" t="s">
        <v>85</v>
      </c>
      <c r="J713" s="17" t="s">
        <v>86</v>
      </c>
      <c r="K713" s="17" t="n">
        <v>2</v>
      </c>
      <c r="L713" s="17" t="s">
        <v>42</v>
      </c>
      <c r="M713" s="17" t="s">
        <v>32</v>
      </c>
      <c r="N713" s="19" t="n">
        <v>6</v>
      </c>
      <c r="O713" s="19" t="n">
        <v>12</v>
      </c>
      <c r="P713" s="17" t="s">
        <v>43</v>
      </c>
      <c r="Q713" s="20" t="n">
        <f aca="false">DATE(D713,C713,B713)</f>
        <v>44277</v>
      </c>
      <c r="R713" s="17" t="str">
        <f aca="false">IF(HOUR(E713)&lt;6,"Madrugada (0-5 h)",IF(HOUR(E713)&lt;12,"Mañana (6-11 h)",IF(HOUR(E713)&lt;18,"Tarde (12-17 h)","Noche (18-23 h)")))</f>
        <v>Noche (18-23 h)</v>
      </c>
    </row>
    <row r="714" customFormat="false" ht="15" hidden="false" customHeight="false" outlineLevel="0" collapsed="false">
      <c r="A714" s="17" t="n">
        <v>1713</v>
      </c>
      <c r="B714" s="17" t="n">
        <v>4</v>
      </c>
      <c r="C714" s="17" t="n">
        <v>7</v>
      </c>
      <c r="D714" s="17" t="n">
        <v>2021</v>
      </c>
      <c r="E714" s="18" t="n">
        <v>0.793854166666667</v>
      </c>
      <c r="F714" s="17" t="n">
        <v>4783</v>
      </c>
      <c r="G714" s="17" t="s">
        <v>87</v>
      </c>
      <c r="H714" s="17" t="s">
        <v>88</v>
      </c>
      <c r="I714" s="17" t="s">
        <v>89</v>
      </c>
      <c r="J714" s="17" t="s">
        <v>90</v>
      </c>
      <c r="K714" s="17" t="n">
        <v>23</v>
      </c>
      <c r="L714" s="17" t="s">
        <v>31</v>
      </c>
      <c r="M714" s="17" t="s">
        <v>48</v>
      </c>
      <c r="N714" s="19" t="n">
        <v>13.54</v>
      </c>
      <c r="O714" s="19" t="n">
        <v>311.42</v>
      </c>
      <c r="P714" s="17" t="s">
        <v>33</v>
      </c>
      <c r="Q714" s="20" t="n">
        <f aca="false">DATE(D714,C714,B714)</f>
        <v>44381</v>
      </c>
      <c r="R714" s="17" t="str">
        <f aca="false">IF(HOUR(E714)&lt;6,"Madrugada (0-5 h)",IF(HOUR(E714)&lt;12,"Mañana (6-11 h)",IF(HOUR(E714)&lt;18,"Tarde (12-17 h)","Noche (18-23 h)")))</f>
        <v>Noche (18-23 h)</v>
      </c>
    </row>
    <row r="715" customFormat="false" ht="15" hidden="false" customHeight="false" outlineLevel="0" collapsed="false">
      <c r="A715" s="17" t="n">
        <v>1714</v>
      </c>
      <c r="B715" s="17" t="n">
        <v>26</v>
      </c>
      <c r="C715" s="17" t="n">
        <v>6</v>
      </c>
      <c r="D715" s="17" t="n">
        <v>2021</v>
      </c>
      <c r="E715" s="18" t="n">
        <v>0.144375</v>
      </c>
      <c r="F715" s="17" t="n">
        <v>1938</v>
      </c>
      <c r="G715" s="17" t="s">
        <v>91</v>
      </c>
      <c r="H715" s="17" t="s">
        <v>92</v>
      </c>
      <c r="I715" s="17" t="s">
        <v>93</v>
      </c>
      <c r="J715" s="17" t="s">
        <v>94</v>
      </c>
      <c r="K715" s="17" t="n">
        <v>7</v>
      </c>
      <c r="L715" s="17" t="s">
        <v>61</v>
      </c>
      <c r="M715" s="17" t="s">
        <v>32</v>
      </c>
      <c r="N715" s="19" t="n">
        <v>4.12</v>
      </c>
      <c r="O715" s="19" t="n">
        <v>28.84</v>
      </c>
      <c r="P715" s="17" t="s">
        <v>33</v>
      </c>
      <c r="Q715" s="20" t="n">
        <f aca="false">DATE(D715,C715,B715)</f>
        <v>44373</v>
      </c>
      <c r="R715" s="17" t="str">
        <f aca="false">IF(HOUR(E715)&lt;6,"Madrugada (0-5 h)",IF(HOUR(E715)&lt;12,"Mañana (6-11 h)",IF(HOUR(E715)&lt;18,"Tarde (12-17 h)","Noche (18-23 h)")))</f>
        <v>Madrugada (0-5 h)</v>
      </c>
    </row>
    <row r="716" customFormat="false" ht="15" hidden="false" customHeight="false" outlineLevel="0" collapsed="false">
      <c r="A716" s="17" t="n">
        <v>1715</v>
      </c>
      <c r="B716" s="17" t="n">
        <v>5</v>
      </c>
      <c r="C716" s="17" t="n">
        <v>1</v>
      </c>
      <c r="D716" s="17" t="n">
        <v>2021</v>
      </c>
      <c r="E716" s="18" t="n">
        <v>0.487858796296296</v>
      </c>
      <c r="F716" s="17" t="n">
        <v>1664</v>
      </c>
      <c r="G716" s="17" t="s">
        <v>95</v>
      </c>
      <c r="H716" s="17" t="s">
        <v>96</v>
      </c>
      <c r="I716" s="17" t="s">
        <v>97</v>
      </c>
      <c r="J716" s="17" t="s">
        <v>97</v>
      </c>
      <c r="K716" s="17" t="n">
        <v>26</v>
      </c>
      <c r="L716" s="17" t="s">
        <v>98</v>
      </c>
      <c r="M716" s="17" t="s">
        <v>48</v>
      </c>
      <c r="N716" s="19" t="n">
        <v>4.33</v>
      </c>
      <c r="O716" s="19" t="n">
        <v>112.58</v>
      </c>
      <c r="P716" s="17" t="s">
        <v>33</v>
      </c>
      <c r="Q716" s="20" t="n">
        <f aca="false">DATE(D716,C716,B716)</f>
        <v>44201</v>
      </c>
      <c r="R716" s="17" t="str">
        <f aca="false">IF(HOUR(E716)&lt;6,"Madrugada (0-5 h)",IF(HOUR(E716)&lt;12,"Mañana (6-11 h)",IF(HOUR(E716)&lt;18,"Tarde (12-17 h)","Noche (18-23 h)")))</f>
        <v>Mañana (6-11 h)</v>
      </c>
    </row>
    <row r="717" customFormat="false" ht="15" hidden="false" customHeight="false" outlineLevel="0" collapsed="false">
      <c r="A717" s="17" t="n">
        <v>1716</v>
      </c>
      <c r="B717" s="17" t="n">
        <v>14</v>
      </c>
      <c r="C717" s="17" t="n">
        <v>12</v>
      </c>
      <c r="D717" s="17" t="n">
        <v>2021</v>
      </c>
      <c r="E717" s="18" t="n">
        <v>0.902650462962963</v>
      </c>
      <c r="F717" s="17" t="n">
        <v>1975</v>
      </c>
      <c r="G717" s="17" t="s">
        <v>99</v>
      </c>
      <c r="H717" s="17" t="s">
        <v>100</v>
      </c>
      <c r="I717" s="17" t="s">
        <v>101</v>
      </c>
      <c r="J717" s="17" t="s">
        <v>102</v>
      </c>
      <c r="K717" s="17" t="n">
        <v>39</v>
      </c>
      <c r="L717" s="17" t="s">
        <v>103</v>
      </c>
      <c r="M717" s="17" t="s">
        <v>32</v>
      </c>
      <c r="N717" s="19" t="n">
        <v>6.97</v>
      </c>
      <c r="O717" s="19" t="n">
        <v>271.83</v>
      </c>
      <c r="P717" s="17" t="s">
        <v>43</v>
      </c>
      <c r="Q717" s="20" t="n">
        <f aca="false">DATE(D717,C717,B717)</f>
        <v>44544</v>
      </c>
      <c r="R717" s="17" t="str">
        <f aca="false">IF(HOUR(E717)&lt;6,"Madrugada (0-5 h)",IF(HOUR(E717)&lt;12,"Mañana (6-11 h)",IF(HOUR(E717)&lt;18,"Tarde (12-17 h)","Noche (18-23 h)")))</f>
        <v>Noche (18-23 h)</v>
      </c>
    </row>
    <row r="718" customFormat="false" ht="15" hidden="false" customHeight="false" outlineLevel="0" collapsed="false">
      <c r="A718" s="17" t="n">
        <v>1717</v>
      </c>
      <c r="B718" s="17" t="n">
        <v>23</v>
      </c>
      <c r="C718" s="17" t="n">
        <v>11</v>
      </c>
      <c r="D718" s="17" t="n">
        <v>2021</v>
      </c>
      <c r="E718" s="18" t="n">
        <v>0.556898148148148</v>
      </c>
      <c r="F718" s="17" t="n">
        <v>3442</v>
      </c>
      <c r="G718" s="17" t="s">
        <v>104</v>
      </c>
      <c r="H718" s="17" t="s">
        <v>105</v>
      </c>
      <c r="I718" s="17" t="s">
        <v>106</v>
      </c>
      <c r="J718" s="17" t="s">
        <v>107</v>
      </c>
      <c r="K718" s="17" t="n">
        <v>42</v>
      </c>
      <c r="L718" s="17" t="s">
        <v>31</v>
      </c>
      <c r="M718" s="17" t="s">
        <v>32</v>
      </c>
      <c r="N718" s="19" t="n">
        <v>4.45</v>
      </c>
      <c r="O718" s="19" t="n">
        <v>186.9</v>
      </c>
      <c r="P718" s="17" t="s">
        <v>33</v>
      </c>
      <c r="Q718" s="20" t="n">
        <f aca="false">DATE(D718,C718,B718)</f>
        <v>44523</v>
      </c>
      <c r="R718" s="17" t="str">
        <f aca="false">IF(HOUR(E718)&lt;6,"Madrugada (0-5 h)",IF(HOUR(E718)&lt;12,"Mañana (6-11 h)",IF(HOUR(E718)&lt;18,"Tarde (12-17 h)","Noche (18-23 h)")))</f>
        <v>Tarde (12-17 h)</v>
      </c>
    </row>
    <row r="719" customFormat="false" ht="15" hidden="false" customHeight="false" outlineLevel="0" collapsed="false">
      <c r="A719" s="17" t="n">
        <v>1718</v>
      </c>
      <c r="B719" s="17" t="n">
        <v>21</v>
      </c>
      <c r="C719" s="17" t="n">
        <v>2</v>
      </c>
      <c r="D719" s="17" t="n">
        <v>2022</v>
      </c>
      <c r="E719" s="18" t="n">
        <v>0.564525462962963</v>
      </c>
      <c r="F719" s="17" t="n">
        <v>2256</v>
      </c>
      <c r="G719" s="17" t="s">
        <v>108</v>
      </c>
      <c r="H719" s="17" t="s">
        <v>109</v>
      </c>
      <c r="I719" s="17" t="s">
        <v>110</v>
      </c>
      <c r="J719" s="17" t="s">
        <v>111</v>
      </c>
      <c r="K719" s="17" t="n">
        <v>36</v>
      </c>
      <c r="L719" s="17" t="s">
        <v>81</v>
      </c>
      <c r="M719" s="17" t="s">
        <v>82</v>
      </c>
      <c r="N719" s="19" t="n">
        <v>6.5</v>
      </c>
      <c r="O719" s="19" t="n">
        <v>234</v>
      </c>
      <c r="P719" s="17" t="s">
        <v>43</v>
      </c>
      <c r="Q719" s="20" t="n">
        <f aca="false">DATE(D719,C719,B719)</f>
        <v>44613</v>
      </c>
      <c r="R719" s="17" t="str">
        <f aca="false">IF(HOUR(E719)&lt;6,"Madrugada (0-5 h)",IF(HOUR(E719)&lt;12,"Mañana (6-11 h)",IF(HOUR(E719)&lt;18,"Tarde (12-17 h)","Noche (18-23 h)")))</f>
        <v>Tarde (12-17 h)</v>
      </c>
    </row>
    <row r="720" customFormat="false" ht="15" hidden="false" customHeight="false" outlineLevel="0" collapsed="false">
      <c r="A720" s="17" t="n">
        <v>1719</v>
      </c>
      <c r="B720" s="17" t="n">
        <v>14</v>
      </c>
      <c r="C720" s="17" t="n">
        <v>1</v>
      </c>
      <c r="D720" s="17" t="n">
        <v>2022</v>
      </c>
      <c r="E720" s="18" t="n">
        <v>0.418460648148148</v>
      </c>
      <c r="F720" s="17" t="n">
        <v>4066</v>
      </c>
      <c r="G720" s="17" t="s">
        <v>112</v>
      </c>
      <c r="H720" s="17" t="s">
        <v>113</v>
      </c>
      <c r="I720" s="17" t="s">
        <v>114</v>
      </c>
      <c r="J720" s="17" t="s">
        <v>115</v>
      </c>
      <c r="K720" s="17" t="n">
        <v>21</v>
      </c>
      <c r="L720" s="17" t="s">
        <v>81</v>
      </c>
      <c r="M720" s="17" t="s">
        <v>116</v>
      </c>
      <c r="N720" s="19" t="n">
        <v>4.86</v>
      </c>
      <c r="O720" s="19" t="n">
        <v>102.06</v>
      </c>
      <c r="P720" s="17" t="s">
        <v>33</v>
      </c>
      <c r="Q720" s="20" t="n">
        <f aca="false">DATE(D720,C720,B720)</f>
        <v>44575</v>
      </c>
      <c r="R720" s="17" t="str">
        <f aca="false">IF(HOUR(E720)&lt;6,"Madrugada (0-5 h)",IF(HOUR(E720)&lt;12,"Mañana (6-11 h)",IF(HOUR(E720)&lt;18,"Tarde (12-17 h)","Noche (18-23 h)")))</f>
        <v>Mañana (6-11 h)</v>
      </c>
    </row>
    <row r="721" customFormat="false" ht="15" hidden="false" customHeight="false" outlineLevel="0" collapsed="false">
      <c r="A721" s="17" t="n">
        <v>1720</v>
      </c>
      <c r="B721" s="17" t="n">
        <v>17</v>
      </c>
      <c r="C721" s="17" t="n">
        <v>7</v>
      </c>
      <c r="D721" s="17" t="n">
        <v>2021</v>
      </c>
      <c r="E721" s="18" t="n">
        <v>0.620891203703704</v>
      </c>
      <c r="F721" s="17" t="n">
        <v>3372</v>
      </c>
      <c r="G721" s="17" t="s">
        <v>117</v>
      </c>
      <c r="H721" s="17" t="s">
        <v>118</v>
      </c>
      <c r="I721" s="17" t="s">
        <v>119</v>
      </c>
      <c r="J721" s="17" t="s">
        <v>115</v>
      </c>
      <c r="K721" s="17" t="n">
        <v>6</v>
      </c>
      <c r="L721" s="17" t="s">
        <v>81</v>
      </c>
      <c r="M721" s="17" t="s">
        <v>120</v>
      </c>
      <c r="N721" s="19" t="n">
        <v>3.54</v>
      </c>
      <c r="O721" s="19" t="n">
        <v>21.24</v>
      </c>
      <c r="P721" s="17" t="s">
        <v>33</v>
      </c>
      <c r="Q721" s="20" t="n">
        <f aca="false">DATE(D721,C721,B721)</f>
        <v>44394</v>
      </c>
      <c r="R721" s="17" t="str">
        <f aca="false">IF(HOUR(E721)&lt;6,"Madrugada (0-5 h)",IF(HOUR(E721)&lt;12,"Mañana (6-11 h)",IF(HOUR(E721)&lt;18,"Tarde (12-17 h)","Noche (18-23 h)")))</f>
        <v>Tarde (12-17 h)</v>
      </c>
    </row>
    <row r="722" customFormat="false" ht="15" hidden="false" customHeight="false" outlineLevel="0" collapsed="false">
      <c r="A722" s="17" t="n">
        <v>1721</v>
      </c>
      <c r="B722" s="17" t="n">
        <v>24</v>
      </c>
      <c r="C722" s="17" t="n">
        <v>1</v>
      </c>
      <c r="D722" s="17" t="n">
        <v>2021</v>
      </c>
      <c r="E722" s="18" t="n">
        <v>0.497384259259259</v>
      </c>
      <c r="F722" s="17" t="n">
        <v>1358</v>
      </c>
      <c r="G722" s="17" t="s">
        <v>121</v>
      </c>
      <c r="H722" s="17" t="s">
        <v>122</v>
      </c>
      <c r="I722" s="17" t="s">
        <v>123</v>
      </c>
      <c r="J722" s="17" t="s">
        <v>124</v>
      </c>
      <c r="K722" s="17" t="n">
        <v>23</v>
      </c>
      <c r="L722" s="17" t="s">
        <v>125</v>
      </c>
      <c r="M722" s="17" t="s">
        <v>76</v>
      </c>
      <c r="N722" s="19" t="n">
        <v>7</v>
      </c>
      <c r="O722" s="19" t="n">
        <v>161</v>
      </c>
      <c r="P722" s="17" t="s">
        <v>33</v>
      </c>
      <c r="Q722" s="20" t="n">
        <f aca="false">DATE(D722,C722,B722)</f>
        <v>44220</v>
      </c>
      <c r="R722" s="17" t="str">
        <f aca="false">IF(HOUR(E722)&lt;6,"Madrugada (0-5 h)",IF(HOUR(E722)&lt;12,"Mañana (6-11 h)",IF(HOUR(E722)&lt;18,"Tarde (12-17 h)","Noche (18-23 h)")))</f>
        <v>Mañana (6-11 h)</v>
      </c>
    </row>
    <row r="723" customFormat="false" ht="15" hidden="false" customHeight="false" outlineLevel="0" collapsed="false">
      <c r="A723" s="17" t="n">
        <v>1722</v>
      </c>
      <c r="B723" s="17" t="n">
        <v>5</v>
      </c>
      <c r="C723" s="17" t="n">
        <v>8</v>
      </c>
      <c r="D723" s="17" t="n">
        <v>2021</v>
      </c>
      <c r="E723" s="18" t="n">
        <v>0.192476851851852</v>
      </c>
      <c r="F723" s="17" t="n">
        <v>2137</v>
      </c>
      <c r="G723" s="17" t="s">
        <v>126</v>
      </c>
      <c r="H723" s="17" t="s">
        <v>127</v>
      </c>
      <c r="I723" s="17" t="s">
        <v>128</v>
      </c>
      <c r="J723" s="17" t="s">
        <v>129</v>
      </c>
      <c r="K723" s="17" t="n">
        <v>41</v>
      </c>
      <c r="L723" s="17" t="s">
        <v>98</v>
      </c>
      <c r="M723" s="17" t="s">
        <v>62</v>
      </c>
      <c r="N723" s="19" t="n">
        <v>3.05</v>
      </c>
      <c r="O723" s="19" t="n">
        <v>125.05</v>
      </c>
      <c r="P723" s="17" t="s">
        <v>33</v>
      </c>
      <c r="Q723" s="20" t="n">
        <f aca="false">DATE(D723,C723,B723)</f>
        <v>44413</v>
      </c>
      <c r="R723" s="17" t="str">
        <f aca="false">IF(HOUR(E723)&lt;6,"Madrugada (0-5 h)",IF(HOUR(E723)&lt;12,"Mañana (6-11 h)",IF(HOUR(E723)&lt;18,"Tarde (12-17 h)","Noche (18-23 h)")))</f>
        <v>Madrugada (0-5 h)</v>
      </c>
    </row>
    <row r="724" customFormat="false" ht="15" hidden="false" customHeight="false" outlineLevel="0" collapsed="false">
      <c r="A724" s="17" t="n">
        <v>1723</v>
      </c>
      <c r="B724" s="17" t="n">
        <v>28</v>
      </c>
      <c r="C724" s="17" t="n">
        <v>6</v>
      </c>
      <c r="D724" s="17" t="n">
        <v>2022</v>
      </c>
      <c r="E724" s="18" t="n">
        <v>0.385023148148148</v>
      </c>
      <c r="F724" s="17" t="n">
        <v>3080</v>
      </c>
      <c r="G724" s="17" t="s">
        <v>130</v>
      </c>
      <c r="H724" s="17" t="s">
        <v>131</v>
      </c>
      <c r="I724" s="17" t="s">
        <v>132</v>
      </c>
      <c r="J724" s="17" t="s">
        <v>129</v>
      </c>
      <c r="K724" s="17" t="n">
        <v>13</v>
      </c>
      <c r="L724" s="17" t="s">
        <v>98</v>
      </c>
      <c r="M724" s="17" t="s">
        <v>62</v>
      </c>
      <c r="N724" s="19" t="n">
        <v>4.57</v>
      </c>
      <c r="O724" s="19" t="n">
        <v>59.41</v>
      </c>
      <c r="P724" s="17" t="s">
        <v>33</v>
      </c>
      <c r="Q724" s="20" t="n">
        <f aca="false">DATE(D724,C724,B724)</f>
        <v>44740</v>
      </c>
      <c r="R724" s="17" t="str">
        <f aca="false">IF(HOUR(E724)&lt;6,"Madrugada (0-5 h)",IF(HOUR(E724)&lt;12,"Mañana (6-11 h)",IF(HOUR(E724)&lt;18,"Tarde (12-17 h)","Noche (18-23 h)")))</f>
        <v>Mañana (6-11 h)</v>
      </c>
    </row>
    <row r="725" customFormat="false" ht="15" hidden="false" customHeight="false" outlineLevel="0" collapsed="false">
      <c r="A725" s="17" t="n">
        <v>1724</v>
      </c>
      <c r="B725" s="17" t="n">
        <v>12</v>
      </c>
      <c r="C725" s="17" t="n">
        <v>6</v>
      </c>
      <c r="D725" s="17" t="n">
        <v>2022</v>
      </c>
      <c r="E725" s="18" t="n">
        <v>0.600543981481482</v>
      </c>
      <c r="F725" s="17" t="n">
        <v>1456</v>
      </c>
      <c r="G725" s="17" t="s">
        <v>133</v>
      </c>
      <c r="H725" s="17" t="s">
        <v>134</v>
      </c>
      <c r="I725" s="17" t="s">
        <v>135</v>
      </c>
      <c r="J725" s="17" t="s">
        <v>136</v>
      </c>
      <c r="K725" s="17" t="n">
        <v>15</v>
      </c>
      <c r="L725" s="17" t="s">
        <v>81</v>
      </c>
      <c r="M725" s="17" t="s">
        <v>76</v>
      </c>
      <c r="N725" s="19" t="n">
        <v>9.89</v>
      </c>
      <c r="O725" s="19" t="n">
        <v>148.35</v>
      </c>
      <c r="P725" s="17" t="s">
        <v>33</v>
      </c>
      <c r="Q725" s="20" t="n">
        <f aca="false">DATE(D725,C725,B725)</f>
        <v>44724</v>
      </c>
      <c r="R725" s="17" t="str">
        <f aca="false">IF(HOUR(E725)&lt;6,"Madrugada (0-5 h)",IF(HOUR(E725)&lt;12,"Mañana (6-11 h)",IF(HOUR(E725)&lt;18,"Tarde (12-17 h)","Noche (18-23 h)")))</f>
        <v>Tarde (12-17 h)</v>
      </c>
    </row>
    <row r="726" customFormat="false" ht="15" hidden="false" customHeight="false" outlineLevel="0" collapsed="false">
      <c r="A726" s="17" t="n">
        <v>1725</v>
      </c>
      <c r="B726" s="17" t="n">
        <v>6</v>
      </c>
      <c r="C726" s="17" t="n">
        <v>3</v>
      </c>
      <c r="D726" s="17" t="n">
        <v>2022</v>
      </c>
      <c r="E726" s="18" t="n">
        <v>0.863113425925926</v>
      </c>
      <c r="F726" s="17" t="n">
        <v>4719</v>
      </c>
      <c r="G726" s="17" t="s">
        <v>137</v>
      </c>
      <c r="H726" s="21" t="s">
        <v>467</v>
      </c>
      <c r="I726" s="17" t="s">
        <v>139</v>
      </c>
      <c r="J726" s="17" t="s">
        <v>140</v>
      </c>
      <c r="K726" s="17" t="n">
        <v>30</v>
      </c>
      <c r="L726" s="17" t="s">
        <v>31</v>
      </c>
      <c r="M726" s="17" t="s">
        <v>32</v>
      </c>
      <c r="N726" s="19" t="n">
        <v>3.44</v>
      </c>
      <c r="O726" s="19" t="n">
        <v>103.2</v>
      </c>
      <c r="P726" s="17" t="s">
        <v>43</v>
      </c>
      <c r="Q726" s="20" t="n">
        <f aca="false">DATE(D726,C726,B726)</f>
        <v>44626</v>
      </c>
      <c r="R726" s="17" t="str">
        <f aca="false">IF(HOUR(E726)&lt;6,"Madrugada (0-5 h)",IF(HOUR(E726)&lt;12,"Mañana (6-11 h)",IF(HOUR(E726)&lt;18,"Tarde (12-17 h)","Noche (18-23 h)")))</f>
        <v>Noche (18-23 h)</v>
      </c>
    </row>
    <row r="727" customFormat="false" ht="15" hidden="false" customHeight="false" outlineLevel="0" collapsed="false">
      <c r="A727" s="17" t="n">
        <v>1726</v>
      </c>
      <c r="B727" s="17" t="n">
        <v>10</v>
      </c>
      <c r="C727" s="17" t="n">
        <v>5</v>
      </c>
      <c r="D727" s="17" t="n">
        <v>2021</v>
      </c>
      <c r="E727" s="18" t="n">
        <v>0.445393518518519</v>
      </c>
      <c r="F727" s="17" t="n">
        <v>1575</v>
      </c>
      <c r="G727" s="17" t="s">
        <v>141</v>
      </c>
      <c r="H727" s="17" t="s">
        <v>142</v>
      </c>
      <c r="I727" s="17" t="s">
        <v>143</v>
      </c>
      <c r="J727" s="17" t="s">
        <v>144</v>
      </c>
      <c r="K727" s="17" t="n">
        <v>32</v>
      </c>
      <c r="L727" s="17" t="s">
        <v>42</v>
      </c>
      <c r="M727" s="17" t="s">
        <v>48</v>
      </c>
      <c r="N727" s="19" t="n">
        <v>8.88</v>
      </c>
      <c r="O727" s="19" t="n">
        <v>284.16</v>
      </c>
      <c r="P727" s="17" t="s">
        <v>33</v>
      </c>
      <c r="Q727" s="20" t="n">
        <f aca="false">DATE(D727,C727,B727)</f>
        <v>44326</v>
      </c>
      <c r="R727" s="17" t="str">
        <f aca="false">IF(HOUR(E727)&lt;6,"Madrugada (0-5 h)",IF(HOUR(E727)&lt;12,"Mañana (6-11 h)",IF(HOUR(E727)&lt;18,"Tarde (12-17 h)","Noche (18-23 h)")))</f>
        <v>Mañana (6-11 h)</v>
      </c>
    </row>
    <row r="728" customFormat="false" ht="15" hidden="false" customHeight="false" outlineLevel="0" collapsed="false">
      <c r="A728" s="17" t="n">
        <v>1727</v>
      </c>
      <c r="B728" s="17" t="n">
        <v>13</v>
      </c>
      <c r="C728" s="17" t="n">
        <v>3</v>
      </c>
      <c r="D728" s="17" t="n">
        <v>2021</v>
      </c>
      <c r="E728" s="18" t="n">
        <v>0.553599537037037</v>
      </c>
      <c r="F728" s="17" t="n">
        <v>4142</v>
      </c>
      <c r="G728" s="17" t="s">
        <v>145</v>
      </c>
      <c r="H728" s="17" t="s">
        <v>146</v>
      </c>
      <c r="I728" s="17" t="s">
        <v>147</v>
      </c>
      <c r="J728" s="17" t="s">
        <v>148</v>
      </c>
      <c r="K728" s="17" t="n">
        <v>1</v>
      </c>
      <c r="L728" s="17" t="s">
        <v>42</v>
      </c>
      <c r="M728" s="17" t="s">
        <v>48</v>
      </c>
      <c r="N728" s="19" t="n">
        <v>15.87</v>
      </c>
      <c r="O728" s="19" t="n">
        <v>15.87</v>
      </c>
      <c r="P728" s="17" t="s">
        <v>33</v>
      </c>
      <c r="Q728" s="20" t="n">
        <f aca="false">DATE(D728,C728,B728)</f>
        <v>44268</v>
      </c>
      <c r="R728" s="17" t="str">
        <f aca="false">IF(HOUR(E728)&lt;6,"Madrugada (0-5 h)",IF(HOUR(E728)&lt;12,"Mañana (6-11 h)",IF(HOUR(E728)&lt;18,"Tarde (12-17 h)","Noche (18-23 h)")))</f>
        <v>Tarde (12-17 h)</v>
      </c>
    </row>
    <row r="729" customFormat="false" ht="15" hidden="false" customHeight="false" outlineLevel="0" collapsed="false">
      <c r="A729" s="17" t="n">
        <v>1728</v>
      </c>
      <c r="B729" s="17" t="n">
        <v>16</v>
      </c>
      <c r="C729" s="17" t="n">
        <v>4</v>
      </c>
      <c r="D729" s="17" t="n">
        <v>2021</v>
      </c>
      <c r="E729" s="18" t="n">
        <v>0.397430555555556</v>
      </c>
      <c r="F729" s="17" t="n">
        <v>4636</v>
      </c>
      <c r="G729" s="17" t="s">
        <v>149</v>
      </c>
      <c r="H729" s="17" t="s">
        <v>150</v>
      </c>
      <c r="I729" s="17" t="s">
        <v>151</v>
      </c>
      <c r="J729" s="17" t="s">
        <v>152</v>
      </c>
      <c r="K729" s="17" t="n">
        <v>16</v>
      </c>
      <c r="L729" s="17" t="s">
        <v>42</v>
      </c>
      <c r="M729" s="17" t="s">
        <v>32</v>
      </c>
      <c r="N729" s="19" t="n">
        <v>13.04</v>
      </c>
      <c r="O729" s="19" t="n">
        <v>208.64</v>
      </c>
      <c r="P729" s="17" t="s">
        <v>33</v>
      </c>
      <c r="Q729" s="20" t="n">
        <f aca="false">DATE(D729,C729,B729)</f>
        <v>44302</v>
      </c>
      <c r="R729" s="17" t="str">
        <f aca="false">IF(HOUR(E729)&lt;6,"Madrugada (0-5 h)",IF(HOUR(E729)&lt;12,"Mañana (6-11 h)",IF(HOUR(E729)&lt;18,"Tarde (12-17 h)","Noche (18-23 h)")))</f>
        <v>Mañana (6-11 h)</v>
      </c>
    </row>
    <row r="730" customFormat="false" ht="15" hidden="false" customHeight="false" outlineLevel="0" collapsed="false">
      <c r="A730" s="17" t="n">
        <v>1729</v>
      </c>
      <c r="B730" s="17" t="n">
        <v>13</v>
      </c>
      <c r="C730" s="17" t="n">
        <v>4</v>
      </c>
      <c r="D730" s="17" t="n">
        <v>2022</v>
      </c>
      <c r="E730" s="18" t="n">
        <v>0.885462962962963</v>
      </c>
      <c r="F730" s="17" t="n">
        <v>2491</v>
      </c>
      <c r="G730" s="17" t="s">
        <v>153</v>
      </c>
      <c r="H730" s="17" t="s">
        <v>154</v>
      </c>
      <c r="I730" s="17" t="s">
        <v>155</v>
      </c>
      <c r="J730" s="17" t="s">
        <v>155</v>
      </c>
      <c r="K730" s="17" t="n">
        <v>7</v>
      </c>
      <c r="L730" s="17" t="s">
        <v>42</v>
      </c>
      <c r="M730" s="17" t="s">
        <v>32</v>
      </c>
      <c r="N730" s="19" t="n">
        <v>9.31</v>
      </c>
      <c r="O730" s="19" t="n">
        <v>65.17</v>
      </c>
      <c r="P730" s="17" t="s">
        <v>43</v>
      </c>
      <c r="Q730" s="20" t="n">
        <f aca="false">DATE(D730,C730,B730)</f>
        <v>44664</v>
      </c>
      <c r="R730" s="17" t="str">
        <f aca="false">IF(HOUR(E730)&lt;6,"Madrugada (0-5 h)",IF(HOUR(E730)&lt;12,"Mañana (6-11 h)",IF(HOUR(E730)&lt;18,"Tarde (12-17 h)","Noche (18-23 h)")))</f>
        <v>Noche (18-23 h)</v>
      </c>
    </row>
    <row r="731" customFormat="false" ht="15" hidden="false" customHeight="false" outlineLevel="0" collapsed="false">
      <c r="A731" s="17" t="n">
        <v>1730</v>
      </c>
      <c r="B731" s="17" t="n">
        <v>15</v>
      </c>
      <c r="C731" s="17" t="n">
        <v>2</v>
      </c>
      <c r="D731" s="17" t="n">
        <v>2022</v>
      </c>
      <c r="E731" s="18" t="n">
        <v>0.685972222222222</v>
      </c>
      <c r="F731" s="17" t="n">
        <v>3960</v>
      </c>
      <c r="G731" s="17" t="s">
        <v>156</v>
      </c>
      <c r="H731" s="17" t="s">
        <v>157</v>
      </c>
      <c r="I731" s="17" t="s">
        <v>158</v>
      </c>
      <c r="J731" s="17" t="s">
        <v>159</v>
      </c>
      <c r="K731" s="17" t="n">
        <v>26</v>
      </c>
      <c r="L731" s="17" t="s">
        <v>125</v>
      </c>
      <c r="M731" s="17" t="s">
        <v>82</v>
      </c>
      <c r="N731" s="19" t="n">
        <v>8.51</v>
      </c>
      <c r="O731" s="19" t="n">
        <v>221.26</v>
      </c>
      <c r="P731" s="17" t="s">
        <v>33</v>
      </c>
      <c r="Q731" s="20" t="n">
        <f aca="false">DATE(D731,C731,B731)</f>
        <v>44607</v>
      </c>
      <c r="R731" s="17" t="str">
        <f aca="false">IF(HOUR(E731)&lt;6,"Madrugada (0-5 h)",IF(HOUR(E731)&lt;12,"Mañana (6-11 h)",IF(HOUR(E731)&lt;18,"Tarde (12-17 h)","Noche (18-23 h)")))</f>
        <v>Tarde (12-17 h)</v>
      </c>
    </row>
    <row r="732" customFormat="false" ht="15" hidden="false" customHeight="false" outlineLevel="0" collapsed="false">
      <c r="A732" s="17" t="n">
        <v>1731</v>
      </c>
      <c r="B732" s="17" t="n">
        <v>14</v>
      </c>
      <c r="C732" s="17" t="n">
        <v>5</v>
      </c>
      <c r="D732" s="17" t="n">
        <v>2022</v>
      </c>
      <c r="E732" s="18" t="n">
        <v>0.404050925925926</v>
      </c>
      <c r="F732" s="17" t="n">
        <v>2674</v>
      </c>
      <c r="G732" s="17" t="s">
        <v>160</v>
      </c>
      <c r="H732" s="17" t="s">
        <v>161</v>
      </c>
      <c r="I732" s="17" t="s">
        <v>162</v>
      </c>
      <c r="J732" s="17" t="s">
        <v>163</v>
      </c>
      <c r="K732" s="17" t="n">
        <v>20</v>
      </c>
      <c r="L732" s="17" t="s">
        <v>42</v>
      </c>
      <c r="M732" s="17" t="s">
        <v>76</v>
      </c>
      <c r="N732" s="19" t="n">
        <v>15.63</v>
      </c>
      <c r="O732" s="19" t="n">
        <v>312.6</v>
      </c>
      <c r="P732" s="17" t="s">
        <v>33</v>
      </c>
      <c r="Q732" s="20" t="n">
        <f aca="false">DATE(D732,C732,B732)</f>
        <v>44695</v>
      </c>
      <c r="R732" s="17" t="str">
        <f aca="false">IF(HOUR(E732)&lt;6,"Madrugada (0-5 h)",IF(HOUR(E732)&lt;12,"Mañana (6-11 h)",IF(HOUR(E732)&lt;18,"Tarde (12-17 h)","Noche (18-23 h)")))</f>
        <v>Mañana (6-11 h)</v>
      </c>
    </row>
    <row r="733" customFormat="false" ht="15" hidden="false" customHeight="false" outlineLevel="0" collapsed="false">
      <c r="A733" s="17" t="n">
        <v>1732</v>
      </c>
      <c r="B733" s="17" t="n">
        <v>27</v>
      </c>
      <c r="C733" s="17" t="n">
        <v>2</v>
      </c>
      <c r="D733" s="17" t="n">
        <v>2022</v>
      </c>
      <c r="E733" s="18" t="n">
        <v>0.511574074074074</v>
      </c>
      <c r="F733" s="17" t="n">
        <v>3848</v>
      </c>
      <c r="G733" s="17" t="s">
        <v>164</v>
      </c>
      <c r="H733" s="17" t="s">
        <v>165</v>
      </c>
      <c r="I733" s="17" t="s">
        <v>166</v>
      </c>
      <c r="J733" s="17" t="s">
        <v>167</v>
      </c>
      <c r="K733" s="17" t="n">
        <v>15</v>
      </c>
      <c r="L733" s="17" t="s">
        <v>81</v>
      </c>
      <c r="M733" s="17" t="s">
        <v>82</v>
      </c>
      <c r="N733" s="19" t="n">
        <v>6.99</v>
      </c>
      <c r="O733" s="19" t="n">
        <v>104.85</v>
      </c>
      <c r="P733" s="17" t="s">
        <v>33</v>
      </c>
      <c r="Q733" s="20" t="n">
        <f aca="false">DATE(D733,C733,B733)</f>
        <v>44619</v>
      </c>
      <c r="R733" s="17" t="str">
        <f aca="false">IF(HOUR(E733)&lt;6,"Madrugada (0-5 h)",IF(HOUR(E733)&lt;12,"Mañana (6-11 h)",IF(HOUR(E733)&lt;18,"Tarde (12-17 h)","Noche (18-23 h)")))</f>
        <v>Tarde (12-17 h)</v>
      </c>
    </row>
    <row r="734" customFormat="false" ht="15" hidden="false" customHeight="false" outlineLevel="0" collapsed="false">
      <c r="A734" s="17" t="n">
        <v>1733</v>
      </c>
      <c r="B734" s="17" t="n">
        <v>28</v>
      </c>
      <c r="C734" s="17" t="n">
        <v>8</v>
      </c>
      <c r="D734" s="17" t="n">
        <v>2021</v>
      </c>
      <c r="E734" s="18" t="n">
        <v>0.420798611111111</v>
      </c>
      <c r="F734" s="17" t="n">
        <v>3389</v>
      </c>
      <c r="G734" s="17" t="s">
        <v>168</v>
      </c>
      <c r="H734" s="17" t="s">
        <v>169</v>
      </c>
      <c r="I734" s="17" t="s">
        <v>170</v>
      </c>
      <c r="J734" s="17" t="s">
        <v>171</v>
      </c>
      <c r="K734" s="17" t="n">
        <v>44</v>
      </c>
      <c r="L734" s="17" t="s">
        <v>31</v>
      </c>
      <c r="M734" s="17" t="s">
        <v>76</v>
      </c>
      <c r="N734" s="19" t="n">
        <v>6.84</v>
      </c>
      <c r="O734" s="19" t="n">
        <v>300.96</v>
      </c>
      <c r="P734" s="17" t="s">
        <v>33</v>
      </c>
      <c r="Q734" s="20" t="n">
        <f aca="false">DATE(D734,C734,B734)</f>
        <v>44436</v>
      </c>
      <c r="R734" s="17" t="str">
        <f aca="false">IF(HOUR(E734)&lt;6,"Madrugada (0-5 h)",IF(HOUR(E734)&lt;12,"Mañana (6-11 h)",IF(HOUR(E734)&lt;18,"Tarde (12-17 h)","Noche (18-23 h)")))</f>
        <v>Mañana (6-11 h)</v>
      </c>
    </row>
    <row r="735" customFormat="false" ht="15" hidden="false" customHeight="false" outlineLevel="0" collapsed="false">
      <c r="A735" s="17" t="n">
        <v>1734</v>
      </c>
      <c r="B735" s="17" t="n">
        <v>24</v>
      </c>
      <c r="C735" s="17" t="n">
        <v>5</v>
      </c>
      <c r="D735" s="17" t="n">
        <v>2021</v>
      </c>
      <c r="E735" s="18" t="n">
        <v>0.487523148148148</v>
      </c>
      <c r="F735" s="17" t="n">
        <v>3295</v>
      </c>
      <c r="G735" s="17" t="s">
        <v>172</v>
      </c>
      <c r="H735" s="17" t="s">
        <v>173</v>
      </c>
      <c r="I735" s="17" t="s">
        <v>174</v>
      </c>
      <c r="J735" s="17" t="s">
        <v>175</v>
      </c>
      <c r="K735" s="17" t="n">
        <v>46</v>
      </c>
      <c r="L735" s="17" t="s">
        <v>31</v>
      </c>
      <c r="M735" s="17" t="s">
        <v>76</v>
      </c>
      <c r="N735" s="19" t="n">
        <v>5.5</v>
      </c>
      <c r="O735" s="19" t="n">
        <v>253</v>
      </c>
      <c r="P735" s="17" t="s">
        <v>33</v>
      </c>
      <c r="Q735" s="20" t="n">
        <f aca="false">DATE(D735,C735,B735)</f>
        <v>44340</v>
      </c>
      <c r="R735" s="17" t="str">
        <f aca="false">IF(HOUR(E735)&lt;6,"Madrugada (0-5 h)",IF(HOUR(E735)&lt;12,"Mañana (6-11 h)",IF(HOUR(E735)&lt;18,"Tarde (12-17 h)","Noche (18-23 h)")))</f>
        <v>Mañana (6-11 h)</v>
      </c>
    </row>
    <row r="736" customFormat="false" ht="15" hidden="false" customHeight="false" outlineLevel="0" collapsed="false">
      <c r="A736" s="17" t="n">
        <v>1735</v>
      </c>
      <c r="B736" s="17" t="n">
        <v>26</v>
      </c>
      <c r="C736" s="17" t="n">
        <v>10</v>
      </c>
      <c r="D736" s="17" t="n">
        <v>2021</v>
      </c>
      <c r="E736" s="18" t="n">
        <v>0.644074074074074</v>
      </c>
      <c r="F736" s="17" t="n">
        <v>4662</v>
      </c>
      <c r="G736" s="17" t="s">
        <v>176</v>
      </c>
      <c r="H736" s="17" t="s">
        <v>177</v>
      </c>
      <c r="I736" s="17" t="s">
        <v>178</v>
      </c>
      <c r="J736" s="17" t="s">
        <v>179</v>
      </c>
      <c r="K736" s="17" t="n">
        <v>17</v>
      </c>
      <c r="L736" s="17" t="s">
        <v>31</v>
      </c>
      <c r="M736" s="17" t="s">
        <v>76</v>
      </c>
      <c r="N736" s="19" t="n">
        <v>9.56</v>
      </c>
      <c r="O736" s="19" t="n">
        <v>162.52</v>
      </c>
      <c r="P736" s="17" t="s">
        <v>33</v>
      </c>
      <c r="Q736" s="20" t="n">
        <f aca="false">DATE(D736,C736,B736)</f>
        <v>44495</v>
      </c>
      <c r="R736" s="17" t="str">
        <f aca="false">IF(HOUR(E736)&lt;6,"Madrugada (0-5 h)",IF(HOUR(E736)&lt;12,"Mañana (6-11 h)",IF(HOUR(E736)&lt;18,"Tarde (12-17 h)","Noche (18-23 h)")))</f>
        <v>Tarde (12-17 h)</v>
      </c>
    </row>
    <row r="737" customFormat="false" ht="15" hidden="false" customHeight="false" outlineLevel="0" collapsed="false">
      <c r="A737" s="17" t="n">
        <v>1736</v>
      </c>
      <c r="B737" s="17" t="n">
        <v>11</v>
      </c>
      <c r="C737" s="17" t="n">
        <v>1</v>
      </c>
      <c r="D737" s="17" t="n">
        <v>2022</v>
      </c>
      <c r="E737" s="18" t="n">
        <v>0.145416666666667</v>
      </c>
      <c r="F737" s="17" t="n">
        <v>3861</v>
      </c>
      <c r="G737" s="17" t="s">
        <v>180</v>
      </c>
      <c r="H737" s="17" t="s">
        <v>181</v>
      </c>
      <c r="I737" s="17" t="s">
        <v>182</v>
      </c>
      <c r="J737" s="17" t="s">
        <v>183</v>
      </c>
      <c r="K737" s="17" t="n">
        <v>33</v>
      </c>
      <c r="L737" s="17" t="s">
        <v>31</v>
      </c>
      <c r="M737" s="17" t="s">
        <v>32</v>
      </c>
      <c r="N737" s="19" t="n">
        <v>3.43</v>
      </c>
      <c r="O737" s="19" t="n">
        <v>113.19</v>
      </c>
      <c r="P737" s="17" t="s">
        <v>33</v>
      </c>
      <c r="Q737" s="20" t="n">
        <f aca="false">DATE(D737,C737,B737)</f>
        <v>44572</v>
      </c>
      <c r="R737" s="17" t="str">
        <f aca="false">IF(HOUR(E737)&lt;6,"Madrugada (0-5 h)",IF(HOUR(E737)&lt;12,"Mañana (6-11 h)",IF(HOUR(E737)&lt;18,"Tarde (12-17 h)","Noche (18-23 h)")))</f>
        <v>Madrugada (0-5 h)</v>
      </c>
    </row>
    <row r="738" customFormat="false" ht="15" hidden="false" customHeight="false" outlineLevel="0" collapsed="false">
      <c r="A738" s="17" t="n">
        <v>1737</v>
      </c>
      <c r="B738" s="17" t="n">
        <v>21</v>
      </c>
      <c r="C738" s="17" t="n">
        <v>12</v>
      </c>
      <c r="D738" s="17" t="n">
        <v>2022</v>
      </c>
      <c r="E738" s="18" t="n">
        <v>0.284837962962963</v>
      </c>
      <c r="F738" s="17" t="n">
        <v>3568</v>
      </c>
      <c r="G738" s="17" t="s">
        <v>184</v>
      </c>
      <c r="H738" s="17" t="s">
        <v>185</v>
      </c>
      <c r="I738" s="17" t="s">
        <v>186</v>
      </c>
      <c r="J738" s="17" t="s">
        <v>187</v>
      </c>
      <c r="K738" s="17" t="n">
        <v>39</v>
      </c>
      <c r="L738" s="17" t="s">
        <v>81</v>
      </c>
      <c r="M738" s="17" t="s">
        <v>82</v>
      </c>
      <c r="N738" s="19" t="n">
        <v>1.23</v>
      </c>
      <c r="O738" s="19" t="n">
        <v>47.97</v>
      </c>
      <c r="P738" s="17" t="s">
        <v>33</v>
      </c>
      <c r="Q738" s="20" t="n">
        <f aca="false">DATE(D738,C738,B738)</f>
        <v>44916</v>
      </c>
      <c r="R738" s="17" t="str">
        <f aca="false">IF(HOUR(E738)&lt;6,"Madrugada (0-5 h)",IF(HOUR(E738)&lt;12,"Mañana (6-11 h)",IF(HOUR(E738)&lt;18,"Tarde (12-17 h)","Noche (18-23 h)")))</f>
        <v>Mañana (6-11 h)</v>
      </c>
    </row>
    <row r="739" customFormat="false" ht="15" hidden="false" customHeight="false" outlineLevel="0" collapsed="false">
      <c r="A739" s="17" t="n">
        <v>1738</v>
      </c>
      <c r="B739" s="17" t="n">
        <v>7</v>
      </c>
      <c r="C739" s="17" t="n">
        <v>12</v>
      </c>
      <c r="D739" s="17" t="n">
        <v>2021</v>
      </c>
      <c r="E739" s="18" t="n">
        <v>0.867384259259259</v>
      </c>
      <c r="F739" s="17" t="n">
        <v>3626</v>
      </c>
      <c r="G739" s="17" t="s">
        <v>188</v>
      </c>
      <c r="H739" s="17" t="s">
        <v>189</v>
      </c>
      <c r="I739" s="17" t="s">
        <v>190</v>
      </c>
      <c r="J739" s="17" t="s">
        <v>191</v>
      </c>
      <c r="K739" s="17" t="n">
        <v>46</v>
      </c>
      <c r="L739" s="17" t="s">
        <v>125</v>
      </c>
      <c r="M739" s="17" t="s">
        <v>76</v>
      </c>
      <c r="N739" s="19" t="n">
        <v>13.55</v>
      </c>
      <c r="O739" s="19" t="n">
        <v>623.3</v>
      </c>
      <c r="P739" s="17" t="s">
        <v>33</v>
      </c>
      <c r="Q739" s="20" t="n">
        <f aca="false">DATE(D739,C739,B739)</f>
        <v>44537</v>
      </c>
      <c r="R739" s="17" t="str">
        <f aca="false">IF(HOUR(E739)&lt;6,"Madrugada (0-5 h)",IF(HOUR(E739)&lt;12,"Mañana (6-11 h)",IF(HOUR(E739)&lt;18,"Tarde (12-17 h)","Noche (18-23 h)")))</f>
        <v>Noche (18-23 h)</v>
      </c>
    </row>
    <row r="740" customFormat="false" ht="15" hidden="false" customHeight="false" outlineLevel="0" collapsed="false">
      <c r="A740" s="17" t="n">
        <v>1739</v>
      </c>
      <c r="B740" s="17" t="n">
        <v>16</v>
      </c>
      <c r="C740" s="17" t="n">
        <v>1</v>
      </c>
      <c r="D740" s="17" t="n">
        <v>2021</v>
      </c>
      <c r="E740" s="18" t="n">
        <v>0.724479166666667</v>
      </c>
      <c r="F740" s="17" t="n">
        <v>4887</v>
      </c>
      <c r="G740" s="17" t="s">
        <v>192</v>
      </c>
      <c r="H740" s="17" t="s">
        <v>193</v>
      </c>
      <c r="I740" s="17" t="s">
        <v>194</v>
      </c>
      <c r="J740" s="17" t="s">
        <v>195</v>
      </c>
      <c r="K740" s="17" t="n">
        <v>22</v>
      </c>
      <c r="L740" s="17" t="s">
        <v>31</v>
      </c>
      <c r="M740" s="17" t="s">
        <v>82</v>
      </c>
      <c r="N740" s="19" t="n">
        <v>6.78</v>
      </c>
      <c r="O740" s="19" t="n">
        <v>149.16</v>
      </c>
      <c r="P740" s="17" t="s">
        <v>33</v>
      </c>
      <c r="Q740" s="20" t="n">
        <f aca="false">DATE(D740,C740,B740)</f>
        <v>44212</v>
      </c>
      <c r="R740" s="17" t="str">
        <f aca="false">IF(HOUR(E740)&lt;6,"Madrugada (0-5 h)",IF(HOUR(E740)&lt;12,"Mañana (6-11 h)",IF(HOUR(E740)&lt;18,"Tarde (12-17 h)","Noche (18-23 h)")))</f>
        <v>Tarde (12-17 h)</v>
      </c>
    </row>
    <row r="741" customFormat="false" ht="15" hidden="false" customHeight="false" outlineLevel="0" collapsed="false">
      <c r="A741" s="17" t="n">
        <v>1740</v>
      </c>
      <c r="B741" s="17" t="n">
        <v>18</v>
      </c>
      <c r="C741" s="17" t="n">
        <v>7</v>
      </c>
      <c r="D741" s="17" t="n">
        <v>2022</v>
      </c>
      <c r="E741" s="18" t="n">
        <v>0.378819444444444</v>
      </c>
      <c r="F741" s="17" t="n">
        <v>1734</v>
      </c>
      <c r="G741" s="17" t="s">
        <v>196</v>
      </c>
      <c r="H741" s="17" t="s">
        <v>197</v>
      </c>
      <c r="I741" s="17" t="s">
        <v>198</v>
      </c>
      <c r="J741" s="17" t="s">
        <v>199</v>
      </c>
      <c r="K741" s="17" t="n">
        <v>36</v>
      </c>
      <c r="L741" s="17" t="s">
        <v>31</v>
      </c>
      <c r="M741" s="17" t="s">
        <v>32</v>
      </c>
      <c r="N741" s="19" t="n">
        <v>8.02</v>
      </c>
      <c r="O741" s="19" t="n">
        <v>288.72</v>
      </c>
      <c r="P741" s="17" t="s">
        <v>33</v>
      </c>
      <c r="Q741" s="20" t="n">
        <f aca="false">DATE(D741,C741,B741)</f>
        <v>44760</v>
      </c>
      <c r="R741" s="17" t="str">
        <f aca="false">IF(HOUR(E741)&lt;6,"Madrugada (0-5 h)",IF(HOUR(E741)&lt;12,"Mañana (6-11 h)",IF(HOUR(E741)&lt;18,"Tarde (12-17 h)","Noche (18-23 h)")))</f>
        <v>Mañana (6-11 h)</v>
      </c>
    </row>
    <row r="742" customFormat="false" ht="15" hidden="false" customHeight="false" outlineLevel="0" collapsed="false">
      <c r="A742" s="17" t="n">
        <v>1741</v>
      </c>
      <c r="B742" s="17" t="n">
        <v>14</v>
      </c>
      <c r="C742" s="17" t="n">
        <v>6</v>
      </c>
      <c r="D742" s="17" t="n">
        <v>2021</v>
      </c>
      <c r="E742" s="18" t="n">
        <v>0.422210648148148</v>
      </c>
      <c r="F742" s="17" t="n">
        <v>4304</v>
      </c>
      <c r="G742" s="17" t="s">
        <v>200</v>
      </c>
      <c r="H742" s="17" t="s">
        <v>201</v>
      </c>
      <c r="I742" s="17" t="s">
        <v>113</v>
      </c>
      <c r="J742" s="17" t="s">
        <v>202</v>
      </c>
      <c r="K742" s="17" t="n">
        <v>9</v>
      </c>
      <c r="L742" s="17" t="s">
        <v>31</v>
      </c>
      <c r="M742" s="17" t="s">
        <v>32</v>
      </c>
      <c r="N742" s="19" t="n">
        <v>7.76</v>
      </c>
      <c r="O742" s="19" t="n">
        <v>69.84</v>
      </c>
      <c r="P742" s="17" t="s">
        <v>33</v>
      </c>
      <c r="Q742" s="20" t="n">
        <f aca="false">DATE(D742,C742,B742)</f>
        <v>44361</v>
      </c>
      <c r="R742" s="17" t="str">
        <f aca="false">IF(HOUR(E742)&lt;6,"Madrugada (0-5 h)",IF(HOUR(E742)&lt;12,"Mañana (6-11 h)",IF(HOUR(E742)&lt;18,"Tarde (12-17 h)","Noche (18-23 h)")))</f>
        <v>Mañana (6-11 h)</v>
      </c>
    </row>
    <row r="743" customFormat="false" ht="15" hidden="false" customHeight="false" outlineLevel="0" collapsed="false">
      <c r="A743" s="17" t="n">
        <v>1742</v>
      </c>
      <c r="B743" s="17" t="n">
        <v>10</v>
      </c>
      <c r="C743" s="17" t="n">
        <v>4</v>
      </c>
      <c r="D743" s="17" t="n">
        <v>2021</v>
      </c>
      <c r="E743" s="18" t="n">
        <v>0.997395833333333</v>
      </c>
      <c r="F743" s="17" t="n">
        <v>2359</v>
      </c>
      <c r="G743" s="17" t="s">
        <v>203</v>
      </c>
      <c r="H743" s="17" t="s">
        <v>468</v>
      </c>
      <c r="I743" s="17" t="s">
        <v>205</v>
      </c>
      <c r="J743" s="17" t="s">
        <v>206</v>
      </c>
      <c r="K743" s="17" t="n">
        <v>50</v>
      </c>
      <c r="L743" s="17" t="s">
        <v>42</v>
      </c>
      <c r="M743" s="17" t="s">
        <v>32</v>
      </c>
      <c r="N743" s="19" t="n">
        <v>8.87</v>
      </c>
      <c r="O743" s="19" t="n">
        <v>443.5</v>
      </c>
      <c r="P743" s="17" t="s">
        <v>33</v>
      </c>
      <c r="Q743" s="20" t="n">
        <f aca="false">DATE(D743,C743,B743)</f>
        <v>44296</v>
      </c>
      <c r="R743" s="17" t="str">
        <f aca="false">IF(HOUR(E743)&lt;6,"Madrugada (0-5 h)",IF(HOUR(E743)&lt;12,"Mañana (6-11 h)",IF(HOUR(E743)&lt;18,"Tarde (12-17 h)","Noche (18-23 h)")))</f>
        <v>Noche (18-23 h)</v>
      </c>
    </row>
    <row r="744" customFormat="false" ht="15" hidden="false" customHeight="false" outlineLevel="0" collapsed="false">
      <c r="A744" s="17" t="n">
        <v>1743</v>
      </c>
      <c r="B744" s="17" t="n">
        <v>5</v>
      </c>
      <c r="C744" s="17" t="n">
        <v>4</v>
      </c>
      <c r="D744" s="17" t="n">
        <v>2022</v>
      </c>
      <c r="E744" s="18" t="n">
        <v>0.946967592592593</v>
      </c>
      <c r="F744" s="17" t="n">
        <v>4078</v>
      </c>
      <c r="G744" s="17" t="s">
        <v>207</v>
      </c>
      <c r="H744" s="17" t="s">
        <v>208</v>
      </c>
      <c r="I744" s="17" t="s">
        <v>209</v>
      </c>
      <c r="J744" s="17" t="s">
        <v>210</v>
      </c>
      <c r="K744" s="17" t="n">
        <v>9</v>
      </c>
      <c r="L744" s="17" t="s">
        <v>31</v>
      </c>
      <c r="M744" s="17" t="s">
        <v>32</v>
      </c>
      <c r="N744" s="19" t="n">
        <v>4.5</v>
      </c>
      <c r="O744" s="19" t="n">
        <v>40.5</v>
      </c>
      <c r="P744" s="17" t="s">
        <v>33</v>
      </c>
      <c r="Q744" s="20" t="n">
        <f aca="false">DATE(D744,C744,B744)</f>
        <v>44656</v>
      </c>
      <c r="R744" s="17" t="str">
        <f aca="false">IF(HOUR(E744)&lt;6,"Madrugada (0-5 h)",IF(HOUR(E744)&lt;12,"Mañana (6-11 h)",IF(HOUR(E744)&lt;18,"Tarde (12-17 h)","Noche (18-23 h)")))</f>
        <v>Noche (18-23 h)</v>
      </c>
    </row>
    <row r="745" customFormat="false" ht="15" hidden="false" customHeight="false" outlineLevel="0" collapsed="false">
      <c r="A745" s="17" t="n">
        <v>1744</v>
      </c>
      <c r="B745" s="17" t="n">
        <v>7</v>
      </c>
      <c r="C745" s="17" t="n">
        <v>5</v>
      </c>
      <c r="D745" s="17" t="n">
        <v>2021</v>
      </c>
      <c r="E745" s="18" t="n">
        <v>0.180428240740741</v>
      </c>
      <c r="F745" s="17" t="n">
        <v>2493</v>
      </c>
      <c r="G745" s="17" t="s">
        <v>211</v>
      </c>
      <c r="H745" s="17" t="s">
        <v>212</v>
      </c>
      <c r="I745" s="17" t="s">
        <v>213</v>
      </c>
      <c r="J745" s="17" t="s">
        <v>214</v>
      </c>
      <c r="K745" s="17" t="n">
        <v>35</v>
      </c>
      <c r="L745" s="17" t="s">
        <v>31</v>
      </c>
      <c r="M745" s="17" t="s">
        <v>32</v>
      </c>
      <c r="N745" s="19" t="n">
        <v>8.98</v>
      </c>
      <c r="O745" s="19" t="n">
        <v>314.3</v>
      </c>
      <c r="P745" s="17" t="s">
        <v>33</v>
      </c>
      <c r="Q745" s="20" t="n">
        <f aca="false">DATE(D745,C745,B745)</f>
        <v>44323</v>
      </c>
      <c r="R745" s="17" t="str">
        <f aca="false">IF(HOUR(E745)&lt;6,"Madrugada (0-5 h)",IF(HOUR(E745)&lt;12,"Mañana (6-11 h)",IF(HOUR(E745)&lt;18,"Tarde (12-17 h)","Noche (18-23 h)")))</f>
        <v>Madrugada (0-5 h)</v>
      </c>
    </row>
    <row r="746" customFormat="false" ht="15" hidden="false" customHeight="false" outlineLevel="0" collapsed="false">
      <c r="A746" s="17" t="n">
        <v>1745</v>
      </c>
      <c r="B746" s="17" t="n">
        <v>5</v>
      </c>
      <c r="C746" s="17" t="n">
        <v>7</v>
      </c>
      <c r="D746" s="17" t="n">
        <v>2022</v>
      </c>
      <c r="E746" s="18" t="n">
        <v>0.00346064814814815</v>
      </c>
      <c r="F746" s="17" t="n">
        <v>3310</v>
      </c>
      <c r="G746" s="17" t="s">
        <v>215</v>
      </c>
      <c r="H746" s="17" t="s">
        <v>197</v>
      </c>
      <c r="I746" s="17" t="s">
        <v>198</v>
      </c>
      <c r="J746" s="17" t="s">
        <v>199</v>
      </c>
      <c r="K746" s="17" t="n">
        <v>5</v>
      </c>
      <c r="L746" s="17" t="s">
        <v>31</v>
      </c>
      <c r="M746" s="17" t="s">
        <v>32</v>
      </c>
      <c r="N746" s="19" t="n">
        <v>5.87</v>
      </c>
      <c r="O746" s="19" t="n">
        <v>29.35</v>
      </c>
      <c r="P746" s="17" t="s">
        <v>33</v>
      </c>
      <c r="Q746" s="20" t="n">
        <f aca="false">DATE(D746,C746,B746)</f>
        <v>44747</v>
      </c>
      <c r="R746" s="17" t="str">
        <f aca="false">IF(HOUR(E746)&lt;6,"Madrugada (0-5 h)",IF(HOUR(E746)&lt;12,"Mañana (6-11 h)",IF(HOUR(E746)&lt;18,"Tarde (12-17 h)","Noche (18-23 h)")))</f>
        <v>Madrugada (0-5 h)</v>
      </c>
    </row>
    <row r="747" customFormat="false" ht="15" hidden="false" customHeight="false" outlineLevel="0" collapsed="false">
      <c r="A747" s="17" t="n">
        <v>1746</v>
      </c>
      <c r="B747" s="17" t="n">
        <v>20</v>
      </c>
      <c r="C747" s="17" t="n">
        <v>4</v>
      </c>
      <c r="D747" s="17" t="n">
        <v>2022</v>
      </c>
      <c r="E747" s="18" t="n">
        <v>0.869340277777778</v>
      </c>
      <c r="F747" s="17" t="n">
        <v>4851</v>
      </c>
      <c r="G747" s="17" t="s">
        <v>216</v>
      </c>
      <c r="H747" s="17" t="s">
        <v>217</v>
      </c>
      <c r="I747" s="17" t="s">
        <v>218</v>
      </c>
      <c r="J747" s="17" t="s">
        <v>219</v>
      </c>
      <c r="K747" s="17" t="n">
        <v>19</v>
      </c>
      <c r="L747" s="17" t="s">
        <v>98</v>
      </c>
      <c r="M747" s="17" t="s">
        <v>62</v>
      </c>
      <c r="N747" s="19" t="n">
        <v>2.31</v>
      </c>
      <c r="O747" s="19" t="n">
        <v>43.89</v>
      </c>
      <c r="P747" s="17" t="s">
        <v>33</v>
      </c>
      <c r="Q747" s="20" t="n">
        <f aca="false">DATE(D747,C747,B747)</f>
        <v>44671</v>
      </c>
      <c r="R747" s="17" t="str">
        <f aca="false">IF(HOUR(E747)&lt;6,"Madrugada (0-5 h)",IF(HOUR(E747)&lt;12,"Mañana (6-11 h)",IF(HOUR(E747)&lt;18,"Tarde (12-17 h)","Noche (18-23 h)")))</f>
        <v>Noche (18-23 h)</v>
      </c>
    </row>
    <row r="748" customFormat="false" ht="15" hidden="false" customHeight="false" outlineLevel="0" collapsed="false">
      <c r="A748" s="17" t="n">
        <v>1747</v>
      </c>
      <c r="B748" s="17" t="n">
        <v>14</v>
      </c>
      <c r="C748" s="17" t="n">
        <v>6</v>
      </c>
      <c r="D748" s="17" t="n">
        <v>2022</v>
      </c>
      <c r="E748" s="18" t="n">
        <v>0.0924074074074074</v>
      </c>
      <c r="F748" s="17" t="n">
        <v>4896</v>
      </c>
      <c r="G748" s="17" t="s">
        <v>220</v>
      </c>
      <c r="H748" s="17" t="s">
        <v>221</v>
      </c>
      <c r="I748" s="17" t="s">
        <v>222</v>
      </c>
      <c r="J748" s="17" t="s">
        <v>223</v>
      </c>
      <c r="K748" s="17" t="n">
        <v>42</v>
      </c>
      <c r="L748" s="17" t="s">
        <v>31</v>
      </c>
      <c r="M748" s="17" t="s">
        <v>32</v>
      </c>
      <c r="N748" s="19" t="n">
        <v>6.53</v>
      </c>
      <c r="O748" s="19" t="n">
        <v>274.26</v>
      </c>
      <c r="P748" s="17" t="s">
        <v>33</v>
      </c>
      <c r="Q748" s="20" t="n">
        <f aca="false">DATE(D748,C748,B748)</f>
        <v>44726</v>
      </c>
      <c r="R748" s="17" t="str">
        <f aca="false">IF(HOUR(E748)&lt;6,"Madrugada (0-5 h)",IF(HOUR(E748)&lt;12,"Mañana (6-11 h)",IF(HOUR(E748)&lt;18,"Tarde (12-17 h)","Noche (18-23 h)")))</f>
        <v>Madrugada (0-5 h)</v>
      </c>
    </row>
    <row r="749" customFormat="false" ht="15" hidden="false" customHeight="false" outlineLevel="0" collapsed="false">
      <c r="A749" s="17" t="n">
        <v>1748</v>
      </c>
      <c r="B749" s="17" t="n">
        <v>2</v>
      </c>
      <c r="C749" s="17" t="n">
        <v>3</v>
      </c>
      <c r="D749" s="17" t="n">
        <v>2022</v>
      </c>
      <c r="E749" s="18" t="n">
        <v>0.711296296296296</v>
      </c>
      <c r="F749" s="17" t="n">
        <v>4532</v>
      </c>
      <c r="G749" s="17" t="s">
        <v>224</v>
      </c>
      <c r="H749" s="17" t="s">
        <v>225</v>
      </c>
      <c r="I749" s="17" t="s">
        <v>222</v>
      </c>
      <c r="J749" s="17" t="s">
        <v>223</v>
      </c>
      <c r="K749" s="17" t="n">
        <v>41</v>
      </c>
      <c r="L749" s="17" t="s">
        <v>31</v>
      </c>
      <c r="M749" s="17" t="s">
        <v>32</v>
      </c>
      <c r="N749" s="19" t="n">
        <v>2.45</v>
      </c>
      <c r="O749" s="19" t="n">
        <v>100.45</v>
      </c>
      <c r="P749" s="17" t="s">
        <v>33</v>
      </c>
      <c r="Q749" s="20" t="n">
        <f aca="false">DATE(D749,C749,B749)</f>
        <v>44622</v>
      </c>
      <c r="R749" s="17" t="str">
        <f aca="false">IF(HOUR(E749)&lt;6,"Madrugada (0-5 h)",IF(HOUR(E749)&lt;12,"Mañana (6-11 h)",IF(HOUR(E749)&lt;18,"Tarde (12-17 h)","Noche (18-23 h)")))</f>
        <v>Tarde (12-17 h)</v>
      </c>
    </row>
    <row r="750" customFormat="false" ht="15" hidden="false" customHeight="false" outlineLevel="0" collapsed="false">
      <c r="A750" s="17" t="n">
        <v>1749</v>
      </c>
      <c r="B750" s="17" t="n">
        <v>12</v>
      </c>
      <c r="C750" s="17" t="n">
        <v>10</v>
      </c>
      <c r="D750" s="17" t="n">
        <v>2022</v>
      </c>
      <c r="E750" s="18" t="n">
        <v>0.610590277777778</v>
      </c>
      <c r="F750" s="17" t="n">
        <v>4470</v>
      </c>
      <c r="G750" s="17" t="s">
        <v>226</v>
      </c>
      <c r="H750" s="17" t="s">
        <v>227</v>
      </c>
      <c r="I750" s="17" t="s">
        <v>228</v>
      </c>
      <c r="J750" s="17" t="s">
        <v>229</v>
      </c>
      <c r="K750" s="17" t="n">
        <v>22</v>
      </c>
      <c r="L750" s="17" t="s">
        <v>125</v>
      </c>
      <c r="M750" s="17" t="s">
        <v>76</v>
      </c>
      <c r="N750" s="19" t="n">
        <v>3.03</v>
      </c>
      <c r="O750" s="19" t="n">
        <v>66.66</v>
      </c>
      <c r="P750" s="17" t="s">
        <v>33</v>
      </c>
      <c r="Q750" s="20" t="n">
        <f aca="false">DATE(D750,C750,B750)</f>
        <v>44846</v>
      </c>
      <c r="R750" s="17" t="str">
        <f aca="false">IF(HOUR(E750)&lt;6,"Madrugada (0-5 h)",IF(HOUR(E750)&lt;12,"Mañana (6-11 h)",IF(HOUR(E750)&lt;18,"Tarde (12-17 h)","Noche (18-23 h)")))</f>
        <v>Tarde (12-17 h)</v>
      </c>
    </row>
    <row r="751" customFormat="false" ht="15" hidden="false" customHeight="false" outlineLevel="0" collapsed="false">
      <c r="A751" s="17" t="n">
        <v>1750</v>
      </c>
      <c r="B751" s="17" t="n">
        <v>12</v>
      </c>
      <c r="C751" s="17" t="n">
        <v>7</v>
      </c>
      <c r="D751" s="17" t="n">
        <v>2021</v>
      </c>
      <c r="E751" s="18" t="n">
        <v>0.0168402777777778</v>
      </c>
      <c r="F751" s="17" t="n">
        <v>1444</v>
      </c>
      <c r="G751" s="17" t="s">
        <v>230</v>
      </c>
      <c r="H751" s="17" t="s">
        <v>231</v>
      </c>
      <c r="I751" s="17" t="s">
        <v>232</v>
      </c>
      <c r="J751" s="17" t="s">
        <v>233</v>
      </c>
      <c r="K751" s="17" t="n">
        <v>18</v>
      </c>
      <c r="L751" s="17" t="s">
        <v>81</v>
      </c>
      <c r="M751" s="17" t="s">
        <v>76</v>
      </c>
      <c r="N751" s="19" t="n">
        <v>5.42</v>
      </c>
      <c r="O751" s="19" t="n">
        <v>97.56</v>
      </c>
      <c r="P751" s="17" t="s">
        <v>33</v>
      </c>
      <c r="Q751" s="20" t="n">
        <f aca="false">DATE(D751,C751,B751)</f>
        <v>44389</v>
      </c>
      <c r="R751" s="17" t="str">
        <f aca="false">IF(HOUR(E751)&lt;6,"Madrugada (0-5 h)",IF(HOUR(E751)&lt;12,"Mañana (6-11 h)",IF(HOUR(E751)&lt;18,"Tarde (12-17 h)","Noche (18-23 h)")))</f>
        <v>Madrugada (0-5 h)</v>
      </c>
    </row>
    <row r="752" customFormat="false" ht="15" hidden="false" customHeight="false" outlineLevel="0" collapsed="false">
      <c r="A752" s="17" t="n">
        <v>1751</v>
      </c>
      <c r="B752" s="17" t="n">
        <v>19</v>
      </c>
      <c r="C752" s="17" t="n">
        <v>2</v>
      </c>
      <c r="D752" s="17" t="n">
        <v>2021</v>
      </c>
      <c r="E752" s="18" t="n">
        <v>0.516469907407407</v>
      </c>
      <c r="F752" s="17" t="n">
        <v>3897</v>
      </c>
      <c r="G752" s="17" t="s">
        <v>234</v>
      </c>
      <c r="H752" s="17" t="s">
        <v>235</v>
      </c>
      <c r="I752" s="17" t="s">
        <v>236</v>
      </c>
      <c r="J752" s="17" t="s">
        <v>237</v>
      </c>
      <c r="K752" s="17" t="n">
        <v>47</v>
      </c>
      <c r="L752" s="17" t="s">
        <v>81</v>
      </c>
      <c r="M752" s="17" t="s">
        <v>82</v>
      </c>
      <c r="N752" s="19" t="n">
        <v>25.45</v>
      </c>
      <c r="O752" s="19" t="n">
        <v>1196.15</v>
      </c>
      <c r="P752" s="17" t="s">
        <v>33</v>
      </c>
      <c r="Q752" s="20" t="n">
        <f aca="false">DATE(D752,C752,B752)</f>
        <v>44246</v>
      </c>
      <c r="R752" s="17" t="str">
        <f aca="false">IF(HOUR(E752)&lt;6,"Madrugada (0-5 h)",IF(HOUR(E752)&lt;12,"Mañana (6-11 h)",IF(HOUR(E752)&lt;18,"Tarde (12-17 h)","Noche (18-23 h)")))</f>
        <v>Tarde (12-17 h)</v>
      </c>
    </row>
    <row r="753" customFormat="false" ht="15" hidden="false" customHeight="false" outlineLevel="0" collapsed="false">
      <c r="A753" s="17" t="n">
        <v>1752</v>
      </c>
      <c r="B753" s="17" t="n">
        <v>16</v>
      </c>
      <c r="C753" s="17" t="n">
        <v>2</v>
      </c>
      <c r="D753" s="17" t="n">
        <v>2021</v>
      </c>
      <c r="E753" s="18" t="n">
        <v>0.59587962962963</v>
      </c>
      <c r="F753" s="17" t="n">
        <v>1155</v>
      </c>
      <c r="G753" s="17" t="s">
        <v>238</v>
      </c>
      <c r="H753" s="17" t="s">
        <v>239</v>
      </c>
      <c r="I753" s="17" t="s">
        <v>240</v>
      </c>
      <c r="J753" s="17" t="s">
        <v>241</v>
      </c>
      <c r="K753" s="17" t="n">
        <v>9</v>
      </c>
      <c r="L753" s="17" t="s">
        <v>81</v>
      </c>
      <c r="M753" s="17" t="s">
        <v>82</v>
      </c>
      <c r="N753" s="19" t="n">
        <v>18.05</v>
      </c>
      <c r="O753" s="19" t="n">
        <v>162.45</v>
      </c>
      <c r="P753" s="17" t="s">
        <v>33</v>
      </c>
      <c r="Q753" s="20" t="n">
        <f aca="false">DATE(D753,C753,B753)</f>
        <v>44243</v>
      </c>
      <c r="R753" s="17" t="str">
        <f aca="false">IF(HOUR(E753)&lt;6,"Madrugada (0-5 h)",IF(HOUR(E753)&lt;12,"Mañana (6-11 h)",IF(HOUR(E753)&lt;18,"Tarde (12-17 h)","Noche (18-23 h)")))</f>
        <v>Tarde (12-17 h)</v>
      </c>
    </row>
    <row r="754" customFormat="false" ht="15" hidden="false" customHeight="false" outlineLevel="0" collapsed="false">
      <c r="A754" s="17" t="n">
        <v>1753</v>
      </c>
      <c r="B754" s="17" t="n">
        <v>18</v>
      </c>
      <c r="C754" s="17" t="n">
        <v>12</v>
      </c>
      <c r="D754" s="17" t="n">
        <v>2021</v>
      </c>
      <c r="E754" s="18" t="n">
        <v>0.589652777777778</v>
      </c>
      <c r="F754" s="17" t="n">
        <v>1538</v>
      </c>
      <c r="G754" s="17" t="s">
        <v>242</v>
      </c>
      <c r="H754" s="17" t="s">
        <v>243</v>
      </c>
      <c r="I754" s="17" t="s">
        <v>244</v>
      </c>
      <c r="J754" s="17" t="s">
        <v>245</v>
      </c>
      <c r="K754" s="17" t="n">
        <v>22</v>
      </c>
      <c r="L754" s="17" t="s">
        <v>81</v>
      </c>
      <c r="M754" s="17" t="s">
        <v>76</v>
      </c>
      <c r="N754" s="19" t="n">
        <v>5.38</v>
      </c>
      <c r="O754" s="19" t="n">
        <v>118.36</v>
      </c>
      <c r="P754" s="17" t="s">
        <v>33</v>
      </c>
      <c r="Q754" s="20" t="n">
        <f aca="false">DATE(D754,C754,B754)</f>
        <v>44548</v>
      </c>
      <c r="R754" s="17" t="str">
        <f aca="false">IF(HOUR(E754)&lt;6,"Madrugada (0-5 h)",IF(HOUR(E754)&lt;12,"Mañana (6-11 h)",IF(HOUR(E754)&lt;18,"Tarde (12-17 h)","Noche (18-23 h)")))</f>
        <v>Tarde (12-17 h)</v>
      </c>
    </row>
    <row r="755" customFormat="false" ht="15" hidden="false" customHeight="false" outlineLevel="0" collapsed="false">
      <c r="A755" s="17" t="n">
        <v>1754</v>
      </c>
      <c r="B755" s="17" t="n">
        <v>6</v>
      </c>
      <c r="C755" s="17" t="n">
        <v>10</v>
      </c>
      <c r="D755" s="17" t="n">
        <v>2021</v>
      </c>
      <c r="E755" s="18" t="n">
        <v>0.736493055555556</v>
      </c>
      <c r="F755" s="17" t="n">
        <v>1267</v>
      </c>
      <c r="G755" s="17" t="s">
        <v>246</v>
      </c>
      <c r="H755" s="17" t="s">
        <v>469</v>
      </c>
      <c r="I755" s="17" t="s">
        <v>244</v>
      </c>
      <c r="J755" s="17" t="s">
        <v>248</v>
      </c>
      <c r="K755" s="17" t="n">
        <v>17</v>
      </c>
      <c r="L755" s="17" t="s">
        <v>81</v>
      </c>
      <c r="M755" s="17" t="s">
        <v>76</v>
      </c>
      <c r="N755" s="19" t="n">
        <v>9.89</v>
      </c>
      <c r="O755" s="19" t="n">
        <v>168.13</v>
      </c>
      <c r="P755" s="17" t="s">
        <v>33</v>
      </c>
      <c r="Q755" s="20" t="n">
        <f aca="false">DATE(D755,C755,B755)</f>
        <v>44475</v>
      </c>
      <c r="R755" s="17" t="str">
        <f aca="false">IF(HOUR(E755)&lt;6,"Madrugada (0-5 h)",IF(HOUR(E755)&lt;12,"Mañana (6-11 h)",IF(HOUR(E755)&lt;18,"Tarde (12-17 h)","Noche (18-23 h)")))</f>
        <v>Tarde (12-17 h)</v>
      </c>
    </row>
    <row r="756" customFormat="false" ht="15" hidden="false" customHeight="false" outlineLevel="0" collapsed="false">
      <c r="A756" s="17" t="n">
        <v>1755</v>
      </c>
      <c r="B756" s="17" t="n">
        <v>8</v>
      </c>
      <c r="C756" s="17" t="n">
        <v>12</v>
      </c>
      <c r="D756" s="17" t="n">
        <v>2021</v>
      </c>
      <c r="E756" s="18" t="n">
        <v>0.0248611111111111</v>
      </c>
      <c r="F756" s="17" t="n">
        <v>2832</v>
      </c>
      <c r="G756" s="17" t="s">
        <v>249</v>
      </c>
      <c r="H756" s="17" t="s">
        <v>250</v>
      </c>
      <c r="I756" s="17" t="s">
        <v>251</v>
      </c>
      <c r="J756" s="17" t="s">
        <v>252</v>
      </c>
      <c r="K756" s="17" t="n">
        <v>32</v>
      </c>
      <c r="L756" s="17" t="s">
        <v>125</v>
      </c>
      <c r="M756" s="17" t="s">
        <v>82</v>
      </c>
      <c r="N756" s="19" t="n">
        <v>25.45</v>
      </c>
      <c r="O756" s="19" t="n">
        <v>814.4</v>
      </c>
      <c r="P756" s="17" t="s">
        <v>33</v>
      </c>
      <c r="Q756" s="20" t="n">
        <f aca="false">DATE(D756,C756,B756)</f>
        <v>44538</v>
      </c>
      <c r="R756" s="17" t="str">
        <f aca="false">IF(HOUR(E756)&lt;6,"Madrugada (0-5 h)",IF(HOUR(E756)&lt;12,"Mañana (6-11 h)",IF(HOUR(E756)&lt;18,"Tarde (12-17 h)","Noche (18-23 h)")))</f>
        <v>Madrugada (0-5 h)</v>
      </c>
    </row>
    <row r="757" customFormat="false" ht="15" hidden="false" customHeight="false" outlineLevel="0" collapsed="false">
      <c r="A757" s="17" t="n">
        <v>1756</v>
      </c>
      <c r="B757" s="17" t="n">
        <v>2</v>
      </c>
      <c r="C757" s="17" t="n">
        <v>1</v>
      </c>
      <c r="D757" s="17" t="n">
        <v>2022</v>
      </c>
      <c r="E757" s="18" t="n">
        <v>0.595856481481482</v>
      </c>
      <c r="F757" s="17" t="n">
        <v>4571</v>
      </c>
      <c r="G757" s="17" t="s">
        <v>253</v>
      </c>
      <c r="H757" s="17" t="s">
        <v>250</v>
      </c>
      <c r="I757" s="17" t="s">
        <v>254</v>
      </c>
      <c r="J757" s="17" t="s">
        <v>255</v>
      </c>
      <c r="K757" s="17" t="n">
        <v>30</v>
      </c>
      <c r="L757" s="17" t="s">
        <v>125</v>
      </c>
      <c r="M757" s="17" t="s">
        <v>82</v>
      </c>
      <c r="N757" s="19" t="n">
        <v>16.34</v>
      </c>
      <c r="O757" s="19" t="n">
        <v>490.2</v>
      </c>
      <c r="P757" s="17" t="s">
        <v>33</v>
      </c>
      <c r="Q757" s="20" t="n">
        <f aca="false">DATE(D757,C757,B757)</f>
        <v>44563</v>
      </c>
      <c r="R757" s="17" t="str">
        <f aca="false">IF(HOUR(E757)&lt;6,"Madrugada (0-5 h)",IF(HOUR(E757)&lt;12,"Mañana (6-11 h)",IF(HOUR(E757)&lt;18,"Tarde (12-17 h)","Noche (18-23 h)")))</f>
        <v>Tarde (12-17 h)</v>
      </c>
    </row>
    <row r="758" customFormat="false" ht="15" hidden="false" customHeight="false" outlineLevel="0" collapsed="false">
      <c r="A758" s="17" t="n">
        <v>1757</v>
      </c>
      <c r="B758" s="17" t="n">
        <v>23</v>
      </c>
      <c r="C758" s="17" t="n">
        <v>7</v>
      </c>
      <c r="D758" s="17" t="n">
        <v>2022</v>
      </c>
      <c r="E758" s="18" t="n">
        <v>0.195034722222222</v>
      </c>
      <c r="F758" s="17" t="n">
        <v>1927</v>
      </c>
      <c r="G758" s="17" t="s">
        <v>256</v>
      </c>
      <c r="H758" s="17" t="s">
        <v>257</v>
      </c>
      <c r="I758" s="17" t="s">
        <v>258</v>
      </c>
      <c r="J758" s="17" t="s">
        <v>259</v>
      </c>
      <c r="K758" s="17" t="n">
        <v>13</v>
      </c>
      <c r="L758" s="17" t="s">
        <v>125</v>
      </c>
      <c r="M758" s="17" t="s">
        <v>82</v>
      </c>
      <c r="N758" s="19" t="n">
        <v>13.32</v>
      </c>
      <c r="O758" s="19" t="n">
        <v>173.16</v>
      </c>
      <c r="P758" s="17" t="s">
        <v>33</v>
      </c>
      <c r="Q758" s="20" t="n">
        <f aca="false">DATE(D758,C758,B758)</f>
        <v>44765</v>
      </c>
      <c r="R758" s="17" t="str">
        <f aca="false">IF(HOUR(E758)&lt;6,"Madrugada (0-5 h)",IF(HOUR(E758)&lt;12,"Mañana (6-11 h)",IF(HOUR(E758)&lt;18,"Tarde (12-17 h)","Noche (18-23 h)")))</f>
        <v>Madrugada (0-5 h)</v>
      </c>
    </row>
    <row r="759" customFormat="false" ht="15" hidden="false" customHeight="false" outlineLevel="0" collapsed="false">
      <c r="A759" s="17" t="n">
        <v>1758</v>
      </c>
      <c r="B759" s="17" t="n">
        <v>2</v>
      </c>
      <c r="C759" s="17" t="n">
        <v>12</v>
      </c>
      <c r="D759" s="17" t="n">
        <v>2021</v>
      </c>
      <c r="E759" s="18" t="n">
        <v>0.520729166666667</v>
      </c>
      <c r="F759" s="17" t="n">
        <v>3548</v>
      </c>
      <c r="G759" s="17" t="s">
        <v>260</v>
      </c>
      <c r="H759" s="17" t="s">
        <v>261</v>
      </c>
      <c r="I759" s="17" t="s">
        <v>262</v>
      </c>
      <c r="J759" s="17" t="s">
        <v>263</v>
      </c>
      <c r="K759" s="17" t="n">
        <v>37</v>
      </c>
      <c r="L759" s="17" t="s">
        <v>125</v>
      </c>
      <c r="M759" s="17" t="s">
        <v>82</v>
      </c>
      <c r="N759" s="19" t="n">
        <v>10.1</v>
      </c>
      <c r="O759" s="19" t="n">
        <v>373.7</v>
      </c>
      <c r="P759" s="17" t="s">
        <v>33</v>
      </c>
      <c r="Q759" s="20" t="n">
        <f aca="false">DATE(D759,C759,B759)</f>
        <v>44532</v>
      </c>
      <c r="R759" s="17" t="str">
        <f aca="false">IF(HOUR(E759)&lt;6,"Madrugada (0-5 h)",IF(HOUR(E759)&lt;12,"Mañana (6-11 h)",IF(HOUR(E759)&lt;18,"Tarde (12-17 h)","Noche (18-23 h)")))</f>
        <v>Tarde (12-17 h)</v>
      </c>
    </row>
    <row r="760" customFormat="false" ht="15" hidden="false" customHeight="false" outlineLevel="0" collapsed="false">
      <c r="A760" s="17" t="n">
        <v>1759</v>
      </c>
      <c r="B760" s="17" t="n">
        <v>2</v>
      </c>
      <c r="C760" s="17" t="n">
        <v>12</v>
      </c>
      <c r="D760" s="17" t="n">
        <v>2022</v>
      </c>
      <c r="E760" s="18" t="n">
        <v>0.988449074074074</v>
      </c>
      <c r="F760" s="17" t="n">
        <v>4868</v>
      </c>
      <c r="G760" s="17" t="s">
        <v>264</v>
      </c>
      <c r="H760" s="17" t="s">
        <v>470</v>
      </c>
      <c r="I760" s="17" t="s">
        <v>266</v>
      </c>
      <c r="J760" s="17" t="s">
        <v>129</v>
      </c>
      <c r="K760" s="17" t="n">
        <v>15</v>
      </c>
      <c r="L760" s="17" t="s">
        <v>61</v>
      </c>
      <c r="M760" s="17" t="s">
        <v>32</v>
      </c>
      <c r="N760" s="19" t="n">
        <v>4.56</v>
      </c>
      <c r="O760" s="19" t="n">
        <v>68.4</v>
      </c>
      <c r="P760" s="17" t="s">
        <v>33</v>
      </c>
      <c r="Q760" s="20" t="n">
        <f aca="false">DATE(D760,C760,B760)</f>
        <v>44897</v>
      </c>
      <c r="R760" s="17" t="str">
        <f aca="false">IF(HOUR(E760)&lt;6,"Madrugada (0-5 h)",IF(HOUR(E760)&lt;12,"Mañana (6-11 h)",IF(HOUR(E760)&lt;18,"Tarde (12-17 h)","Noche (18-23 h)")))</f>
        <v>Noche (18-23 h)</v>
      </c>
    </row>
    <row r="761" customFormat="false" ht="15" hidden="false" customHeight="false" outlineLevel="0" collapsed="false">
      <c r="A761" s="17" t="n">
        <v>1760</v>
      </c>
      <c r="B761" s="17" t="n">
        <v>21</v>
      </c>
      <c r="C761" s="17" t="n">
        <v>9</v>
      </c>
      <c r="D761" s="17" t="n">
        <v>2021</v>
      </c>
      <c r="E761" s="18" t="n">
        <v>0.157337962962963</v>
      </c>
      <c r="F761" s="17" t="n">
        <v>4559</v>
      </c>
      <c r="G761" s="17" t="s">
        <v>267</v>
      </c>
      <c r="H761" s="17" t="s">
        <v>267</v>
      </c>
      <c r="I761" s="17" t="s">
        <v>93</v>
      </c>
      <c r="J761" s="17" t="s">
        <v>268</v>
      </c>
      <c r="K761" s="17" t="n">
        <v>17</v>
      </c>
      <c r="L761" s="17" t="s">
        <v>61</v>
      </c>
      <c r="M761" s="17" t="s">
        <v>32</v>
      </c>
      <c r="N761" s="19" t="n">
        <v>5.56</v>
      </c>
      <c r="O761" s="19" t="n">
        <v>94.52</v>
      </c>
      <c r="P761" s="17" t="s">
        <v>33</v>
      </c>
      <c r="Q761" s="20" t="n">
        <f aca="false">DATE(D761,C761,B761)</f>
        <v>44460</v>
      </c>
      <c r="R761" s="17" t="str">
        <f aca="false">IF(HOUR(E761)&lt;6,"Madrugada (0-5 h)",IF(HOUR(E761)&lt;12,"Mañana (6-11 h)",IF(HOUR(E761)&lt;18,"Tarde (12-17 h)","Noche (18-23 h)")))</f>
        <v>Madrugada (0-5 h)</v>
      </c>
    </row>
    <row r="762" customFormat="false" ht="15" hidden="false" customHeight="false" outlineLevel="0" collapsed="false">
      <c r="A762" s="17" t="n">
        <v>1761</v>
      </c>
      <c r="B762" s="17" t="n">
        <v>14</v>
      </c>
      <c r="C762" s="17" t="n">
        <v>4</v>
      </c>
      <c r="D762" s="17" t="n">
        <v>2022</v>
      </c>
      <c r="E762" s="18" t="n">
        <v>0.884814814814815</v>
      </c>
      <c r="F762" s="17" t="n">
        <v>2422</v>
      </c>
      <c r="G762" s="17" t="s">
        <v>269</v>
      </c>
      <c r="H762" s="17" t="s">
        <v>270</v>
      </c>
      <c r="I762" s="17" t="s">
        <v>271</v>
      </c>
      <c r="J762" s="17" t="s">
        <v>272</v>
      </c>
      <c r="K762" s="17" t="n">
        <v>6</v>
      </c>
      <c r="L762" s="17" t="s">
        <v>61</v>
      </c>
      <c r="M762" s="17" t="s">
        <v>32</v>
      </c>
      <c r="N762" s="19" t="n">
        <v>3.43</v>
      </c>
      <c r="O762" s="19" t="n">
        <v>20.58</v>
      </c>
      <c r="P762" s="17" t="s">
        <v>33</v>
      </c>
      <c r="Q762" s="20" t="n">
        <f aca="false">DATE(D762,C762,B762)</f>
        <v>44665</v>
      </c>
      <c r="R762" s="17" t="str">
        <f aca="false">IF(HOUR(E762)&lt;6,"Madrugada (0-5 h)",IF(HOUR(E762)&lt;12,"Mañana (6-11 h)",IF(HOUR(E762)&lt;18,"Tarde (12-17 h)","Noche (18-23 h)")))</f>
        <v>Noche (18-23 h)</v>
      </c>
    </row>
    <row r="763" customFormat="false" ht="15" hidden="false" customHeight="false" outlineLevel="0" collapsed="false">
      <c r="A763" s="17" t="n">
        <v>1762</v>
      </c>
      <c r="B763" s="17" t="n">
        <v>6</v>
      </c>
      <c r="C763" s="17" t="n">
        <v>11</v>
      </c>
      <c r="D763" s="17" t="n">
        <v>2021</v>
      </c>
      <c r="E763" s="18" t="n">
        <v>0.430416666666667</v>
      </c>
      <c r="F763" s="17" t="n">
        <v>1319</v>
      </c>
      <c r="G763" s="17" t="s">
        <v>273</v>
      </c>
      <c r="H763" s="17" t="s">
        <v>274</v>
      </c>
      <c r="I763" s="17" t="s">
        <v>275</v>
      </c>
      <c r="J763" s="17" t="s">
        <v>276</v>
      </c>
      <c r="K763" s="17" t="n">
        <v>45</v>
      </c>
      <c r="L763" s="17" t="s">
        <v>31</v>
      </c>
      <c r="M763" s="17" t="s">
        <v>32</v>
      </c>
      <c r="N763" s="19" t="n">
        <v>15.02</v>
      </c>
      <c r="O763" s="19" t="n">
        <v>675.9</v>
      </c>
      <c r="P763" s="17" t="s">
        <v>33</v>
      </c>
      <c r="Q763" s="20" t="n">
        <f aca="false">DATE(D763,C763,B763)</f>
        <v>44506</v>
      </c>
      <c r="R763" s="17" t="str">
        <f aca="false">IF(HOUR(E763)&lt;6,"Madrugada (0-5 h)",IF(HOUR(E763)&lt;12,"Mañana (6-11 h)",IF(HOUR(E763)&lt;18,"Tarde (12-17 h)","Noche (18-23 h)")))</f>
        <v>Mañana (6-11 h)</v>
      </c>
    </row>
    <row r="764" customFormat="false" ht="15" hidden="false" customHeight="false" outlineLevel="0" collapsed="false">
      <c r="A764" s="17" t="n">
        <v>1763</v>
      </c>
      <c r="B764" s="17" t="n">
        <v>16</v>
      </c>
      <c r="C764" s="17" t="n">
        <v>6</v>
      </c>
      <c r="D764" s="17" t="n">
        <v>2021</v>
      </c>
      <c r="E764" s="18" t="n">
        <v>0.927696759259259</v>
      </c>
      <c r="F764" s="17" t="n">
        <v>1850</v>
      </c>
      <c r="G764" s="17" t="s">
        <v>277</v>
      </c>
      <c r="H764" s="17" t="s">
        <v>278</v>
      </c>
      <c r="I764" s="17" t="s">
        <v>279</v>
      </c>
      <c r="J764" s="17" t="s">
        <v>280</v>
      </c>
      <c r="K764" s="17" t="n">
        <v>33</v>
      </c>
      <c r="L764" s="17" t="s">
        <v>31</v>
      </c>
      <c r="M764" s="17" t="s">
        <v>32</v>
      </c>
      <c r="N764" s="19" t="n">
        <v>2.02</v>
      </c>
      <c r="O764" s="19" t="n">
        <v>66.66</v>
      </c>
      <c r="P764" s="17" t="s">
        <v>33</v>
      </c>
      <c r="Q764" s="20" t="n">
        <f aca="false">DATE(D764,C764,B764)</f>
        <v>44363</v>
      </c>
      <c r="R764" s="17" t="str">
        <f aca="false">IF(HOUR(E764)&lt;6,"Madrugada (0-5 h)",IF(HOUR(E764)&lt;12,"Mañana (6-11 h)",IF(HOUR(E764)&lt;18,"Tarde (12-17 h)","Noche (18-23 h)")))</f>
        <v>Noche (18-23 h)</v>
      </c>
    </row>
    <row r="765" customFormat="false" ht="15" hidden="false" customHeight="false" outlineLevel="0" collapsed="false">
      <c r="A765" s="17" t="n">
        <v>1764</v>
      </c>
      <c r="B765" s="17" t="n">
        <v>6</v>
      </c>
      <c r="C765" s="17" t="n">
        <v>2</v>
      </c>
      <c r="D765" s="17" t="n">
        <v>2022</v>
      </c>
      <c r="E765" s="18" t="n">
        <v>0.941076388888889</v>
      </c>
      <c r="F765" s="17" t="n">
        <v>3737</v>
      </c>
      <c r="G765" s="17" t="s">
        <v>224</v>
      </c>
      <c r="H765" s="17" t="s">
        <v>224</v>
      </c>
      <c r="I765" s="17" t="s">
        <v>281</v>
      </c>
      <c r="J765" s="17" t="s">
        <v>282</v>
      </c>
      <c r="K765" s="17" t="n">
        <v>46</v>
      </c>
      <c r="L765" s="17" t="s">
        <v>31</v>
      </c>
      <c r="M765" s="17" t="s">
        <v>32</v>
      </c>
      <c r="N765" s="19" t="n">
        <v>2.45</v>
      </c>
      <c r="O765" s="19" t="n">
        <v>112.7</v>
      </c>
      <c r="P765" s="17" t="s">
        <v>33</v>
      </c>
      <c r="Q765" s="20" t="n">
        <f aca="false">DATE(D765,C765,B765)</f>
        <v>44598</v>
      </c>
      <c r="R765" s="17" t="str">
        <f aca="false">IF(HOUR(E765)&lt;6,"Madrugada (0-5 h)",IF(HOUR(E765)&lt;12,"Mañana (6-11 h)",IF(HOUR(E765)&lt;18,"Tarde (12-17 h)","Noche (18-23 h)")))</f>
        <v>Noche (18-23 h)</v>
      </c>
    </row>
    <row r="766" customFormat="false" ht="15" hidden="false" customHeight="false" outlineLevel="0" collapsed="false">
      <c r="A766" s="17" t="n">
        <v>1765</v>
      </c>
      <c r="B766" s="17" t="n">
        <v>26</v>
      </c>
      <c r="C766" s="17" t="n">
        <v>2</v>
      </c>
      <c r="D766" s="17" t="n">
        <v>2022</v>
      </c>
      <c r="E766" s="18" t="n">
        <v>0.965335648148148</v>
      </c>
      <c r="F766" s="17" t="n">
        <v>2504</v>
      </c>
      <c r="G766" s="17" t="s">
        <v>220</v>
      </c>
      <c r="H766" s="17" t="s">
        <v>221</v>
      </c>
      <c r="I766" s="17" t="s">
        <v>283</v>
      </c>
      <c r="J766" s="17" t="s">
        <v>284</v>
      </c>
      <c r="K766" s="17" t="n">
        <v>33</v>
      </c>
      <c r="L766" s="17" t="s">
        <v>31</v>
      </c>
      <c r="M766" s="17" t="s">
        <v>32</v>
      </c>
      <c r="N766" s="19" t="n">
        <v>6.53</v>
      </c>
      <c r="O766" s="19" t="n">
        <v>215.49</v>
      </c>
      <c r="P766" s="17" t="s">
        <v>33</v>
      </c>
      <c r="Q766" s="20" t="n">
        <f aca="false">DATE(D766,C766,B766)</f>
        <v>44618</v>
      </c>
      <c r="R766" s="17" t="str">
        <f aca="false">IF(HOUR(E766)&lt;6,"Madrugada (0-5 h)",IF(HOUR(E766)&lt;12,"Mañana (6-11 h)",IF(HOUR(E766)&lt;18,"Tarde (12-17 h)","Noche (18-23 h)")))</f>
        <v>Noche (18-23 h)</v>
      </c>
    </row>
    <row r="767" customFormat="false" ht="15" hidden="false" customHeight="false" outlineLevel="0" collapsed="false">
      <c r="A767" s="17" t="n">
        <v>1766</v>
      </c>
      <c r="B767" s="17" t="n">
        <v>9</v>
      </c>
      <c r="C767" s="17" t="n">
        <v>4</v>
      </c>
      <c r="D767" s="17" t="n">
        <v>2022</v>
      </c>
      <c r="E767" s="18" t="n">
        <v>0.633796296296296</v>
      </c>
      <c r="F767" s="17" t="n">
        <v>1798</v>
      </c>
      <c r="G767" s="17" t="s">
        <v>285</v>
      </c>
      <c r="H767" s="17" t="s">
        <v>286</v>
      </c>
      <c r="I767" s="17" t="s">
        <v>287</v>
      </c>
      <c r="J767" s="17" t="s">
        <v>288</v>
      </c>
      <c r="K767" s="17" t="n">
        <v>9</v>
      </c>
      <c r="L767" s="17" t="s">
        <v>31</v>
      </c>
      <c r="M767" s="17" t="s">
        <v>32</v>
      </c>
      <c r="N767" s="19" t="n">
        <v>5.55</v>
      </c>
      <c r="O767" s="19" t="n">
        <v>49.95</v>
      </c>
      <c r="P767" s="17" t="s">
        <v>33</v>
      </c>
      <c r="Q767" s="20" t="n">
        <f aca="false">DATE(D767,C767,B767)</f>
        <v>44660</v>
      </c>
      <c r="R767" s="17" t="str">
        <f aca="false">IF(HOUR(E767)&lt;6,"Madrugada (0-5 h)",IF(HOUR(E767)&lt;12,"Mañana (6-11 h)",IF(HOUR(E767)&lt;18,"Tarde (12-17 h)","Noche (18-23 h)")))</f>
        <v>Tarde (12-17 h)</v>
      </c>
    </row>
    <row r="768" customFormat="false" ht="15" hidden="false" customHeight="false" outlineLevel="0" collapsed="false">
      <c r="A768" s="17" t="n">
        <v>1767</v>
      </c>
      <c r="B768" s="17" t="n">
        <v>5</v>
      </c>
      <c r="C768" s="17" t="n">
        <v>7</v>
      </c>
      <c r="D768" s="17" t="n">
        <v>2021</v>
      </c>
      <c r="E768" s="18" t="n">
        <v>0.663541666666667</v>
      </c>
      <c r="F768" s="17" t="n">
        <v>2554</v>
      </c>
      <c r="G768" s="17" t="s">
        <v>91</v>
      </c>
      <c r="H768" s="17" t="s">
        <v>92</v>
      </c>
      <c r="I768" s="17" t="s">
        <v>289</v>
      </c>
      <c r="J768" s="17" t="s">
        <v>290</v>
      </c>
      <c r="K768" s="17" t="n">
        <v>11</v>
      </c>
      <c r="L768" s="17" t="s">
        <v>61</v>
      </c>
      <c r="M768" s="17" t="s">
        <v>32</v>
      </c>
      <c r="N768" s="19" t="n">
        <v>4.12</v>
      </c>
      <c r="O768" s="19" t="n">
        <v>45.32</v>
      </c>
      <c r="P768" s="17" t="s">
        <v>33</v>
      </c>
      <c r="Q768" s="20" t="n">
        <f aca="false">DATE(D768,C768,B768)</f>
        <v>44382</v>
      </c>
      <c r="R768" s="17" t="str">
        <f aca="false">IF(HOUR(E768)&lt;6,"Madrugada (0-5 h)",IF(HOUR(E768)&lt;12,"Mañana (6-11 h)",IF(HOUR(E768)&lt;18,"Tarde (12-17 h)","Noche (18-23 h)")))</f>
        <v>Tarde (12-17 h)</v>
      </c>
    </row>
    <row r="769" customFormat="false" ht="15" hidden="false" customHeight="false" outlineLevel="0" collapsed="false">
      <c r="A769" s="17" t="n">
        <v>1768</v>
      </c>
      <c r="B769" s="17" t="n">
        <v>27</v>
      </c>
      <c r="C769" s="17" t="n">
        <v>4</v>
      </c>
      <c r="D769" s="17" t="n">
        <v>2022</v>
      </c>
      <c r="E769" s="18" t="n">
        <v>0.216273148148148</v>
      </c>
      <c r="F769" s="17" t="n">
        <v>2588</v>
      </c>
      <c r="G769" s="17" t="s">
        <v>291</v>
      </c>
      <c r="H769" s="17" t="s">
        <v>471</v>
      </c>
      <c r="I769" s="17" t="s">
        <v>293</v>
      </c>
      <c r="J769" s="17" t="s">
        <v>294</v>
      </c>
      <c r="K769" s="17" t="n">
        <v>47</v>
      </c>
      <c r="L769" s="17" t="s">
        <v>42</v>
      </c>
      <c r="M769" s="17" t="s">
        <v>32</v>
      </c>
      <c r="N769" s="19" t="n">
        <v>5.76</v>
      </c>
      <c r="O769" s="19" t="n">
        <v>270.72</v>
      </c>
      <c r="P769" s="17" t="s">
        <v>33</v>
      </c>
      <c r="Q769" s="20" t="n">
        <f aca="false">DATE(D769,C769,B769)</f>
        <v>44678</v>
      </c>
      <c r="R769" s="17" t="str">
        <f aca="false">IF(HOUR(E769)&lt;6,"Madrugada (0-5 h)",IF(HOUR(E769)&lt;12,"Mañana (6-11 h)",IF(HOUR(E769)&lt;18,"Tarde (12-17 h)","Noche (18-23 h)")))</f>
        <v>Madrugada (0-5 h)</v>
      </c>
    </row>
    <row r="770" customFormat="false" ht="15" hidden="false" customHeight="false" outlineLevel="0" collapsed="false">
      <c r="A770" s="17" t="n">
        <v>1769</v>
      </c>
      <c r="B770" s="17" t="n">
        <v>27</v>
      </c>
      <c r="C770" s="17" t="n">
        <v>1</v>
      </c>
      <c r="D770" s="17" t="n">
        <v>2022</v>
      </c>
      <c r="E770" s="18" t="n">
        <v>0.970185185185185</v>
      </c>
      <c r="F770" s="17" t="n">
        <v>3179</v>
      </c>
      <c r="G770" s="17" t="s">
        <v>295</v>
      </c>
      <c r="H770" s="17" t="s">
        <v>296</v>
      </c>
      <c r="I770" s="17" t="s">
        <v>297</v>
      </c>
      <c r="J770" s="17" t="s">
        <v>298</v>
      </c>
      <c r="K770" s="17" t="n">
        <v>28</v>
      </c>
      <c r="L770" s="17" t="s">
        <v>98</v>
      </c>
      <c r="M770" s="17" t="s">
        <v>62</v>
      </c>
      <c r="N770" s="19" t="n">
        <v>3.5</v>
      </c>
      <c r="O770" s="19" t="n">
        <v>98</v>
      </c>
      <c r="P770" s="17" t="s">
        <v>33</v>
      </c>
      <c r="Q770" s="20" t="n">
        <f aca="false">DATE(D770,C770,B770)</f>
        <v>44588</v>
      </c>
      <c r="R770" s="17" t="str">
        <f aca="false">IF(HOUR(E770)&lt;6,"Madrugada (0-5 h)",IF(HOUR(E770)&lt;12,"Mañana (6-11 h)",IF(HOUR(E770)&lt;18,"Tarde (12-17 h)","Noche (18-23 h)")))</f>
        <v>Noche (18-23 h)</v>
      </c>
    </row>
    <row r="771" customFormat="false" ht="15" hidden="false" customHeight="false" outlineLevel="0" collapsed="false">
      <c r="A771" s="17" t="n">
        <v>1770</v>
      </c>
      <c r="B771" s="17" t="n">
        <v>14</v>
      </c>
      <c r="C771" s="17" t="n">
        <v>9</v>
      </c>
      <c r="D771" s="17" t="n">
        <v>2022</v>
      </c>
      <c r="E771" s="18" t="n">
        <v>0.378159722222222</v>
      </c>
      <c r="F771" s="17" t="n">
        <v>4258</v>
      </c>
      <c r="G771" s="17" t="s">
        <v>72</v>
      </c>
      <c r="H771" s="17" t="s">
        <v>299</v>
      </c>
      <c r="I771" s="17" t="s">
        <v>300</v>
      </c>
      <c r="J771" s="17" t="s">
        <v>301</v>
      </c>
      <c r="K771" s="17" t="n">
        <v>45</v>
      </c>
      <c r="L771" s="17" t="s">
        <v>61</v>
      </c>
      <c r="M771" s="17" t="s">
        <v>76</v>
      </c>
      <c r="N771" s="19" t="n">
        <v>13.71</v>
      </c>
      <c r="O771" s="19" t="n">
        <v>616.95</v>
      </c>
      <c r="P771" s="17" t="s">
        <v>33</v>
      </c>
      <c r="Q771" s="20" t="n">
        <f aca="false">DATE(D771,C771,B771)</f>
        <v>44818</v>
      </c>
      <c r="R771" s="17" t="str">
        <f aca="false">IF(HOUR(E771)&lt;6,"Madrugada (0-5 h)",IF(HOUR(E771)&lt;12,"Mañana (6-11 h)",IF(HOUR(E771)&lt;18,"Tarde (12-17 h)","Noche (18-23 h)")))</f>
        <v>Mañana (6-11 h)</v>
      </c>
    </row>
    <row r="772" customFormat="false" ht="15" hidden="false" customHeight="false" outlineLevel="0" collapsed="false">
      <c r="A772" s="17" t="n">
        <v>1771</v>
      </c>
      <c r="B772" s="17" t="n">
        <v>23</v>
      </c>
      <c r="C772" s="17" t="n">
        <v>12</v>
      </c>
      <c r="D772" s="17" t="n">
        <v>2021</v>
      </c>
      <c r="E772" s="18" t="n">
        <v>0.0322106481481482</v>
      </c>
      <c r="F772" s="17" t="n">
        <v>3946</v>
      </c>
      <c r="G772" s="17" t="s">
        <v>302</v>
      </c>
      <c r="H772" s="17" t="s">
        <v>303</v>
      </c>
      <c r="I772" s="17" t="s">
        <v>300</v>
      </c>
      <c r="J772" s="17" t="s">
        <v>301</v>
      </c>
      <c r="K772" s="17" t="n">
        <v>26</v>
      </c>
      <c r="L772" s="17" t="s">
        <v>61</v>
      </c>
      <c r="M772" s="17" t="s">
        <v>76</v>
      </c>
      <c r="N772" s="19" t="n">
        <v>22.36</v>
      </c>
      <c r="O772" s="19" t="n">
        <v>581.36</v>
      </c>
      <c r="P772" s="17" t="s">
        <v>33</v>
      </c>
      <c r="Q772" s="20" t="n">
        <f aca="false">DATE(D772,C772,B772)</f>
        <v>44553</v>
      </c>
      <c r="R772" s="17" t="str">
        <f aca="false">IF(HOUR(E772)&lt;6,"Madrugada (0-5 h)",IF(HOUR(E772)&lt;12,"Mañana (6-11 h)",IF(HOUR(E772)&lt;18,"Tarde (12-17 h)","Noche (18-23 h)")))</f>
        <v>Madrugada (0-5 h)</v>
      </c>
    </row>
    <row r="773" customFormat="false" ht="15" hidden="false" customHeight="false" outlineLevel="0" collapsed="false">
      <c r="A773" s="17" t="n">
        <v>1772</v>
      </c>
      <c r="B773" s="17" t="n">
        <v>25</v>
      </c>
      <c r="C773" s="17" t="n">
        <v>11</v>
      </c>
      <c r="D773" s="17" t="n">
        <v>2022</v>
      </c>
      <c r="E773" s="18" t="n">
        <v>0.0037962962962963</v>
      </c>
      <c r="F773" s="17" t="n">
        <v>1033</v>
      </c>
      <c r="G773" s="17" t="s">
        <v>304</v>
      </c>
      <c r="H773" s="17" t="s">
        <v>305</v>
      </c>
      <c r="I773" s="17" t="s">
        <v>305</v>
      </c>
      <c r="J773" s="17" t="s">
        <v>306</v>
      </c>
      <c r="K773" s="17" t="n">
        <v>12</v>
      </c>
      <c r="L773" s="17" t="s">
        <v>31</v>
      </c>
      <c r="M773" s="17" t="s">
        <v>32</v>
      </c>
      <c r="N773" s="19" t="n">
        <v>6.68</v>
      </c>
      <c r="O773" s="19" t="n">
        <v>80.16</v>
      </c>
      <c r="P773" s="17" t="s">
        <v>33</v>
      </c>
      <c r="Q773" s="20" t="n">
        <f aca="false">DATE(D773,C773,B773)</f>
        <v>44890</v>
      </c>
      <c r="R773" s="17" t="str">
        <f aca="false">IF(HOUR(E773)&lt;6,"Madrugada (0-5 h)",IF(HOUR(E773)&lt;12,"Mañana (6-11 h)",IF(HOUR(E773)&lt;18,"Tarde (12-17 h)","Noche (18-23 h)")))</f>
        <v>Madrugada (0-5 h)</v>
      </c>
    </row>
    <row r="774" customFormat="false" ht="15" hidden="false" customHeight="false" outlineLevel="0" collapsed="false">
      <c r="A774" s="17" t="n">
        <v>1773</v>
      </c>
      <c r="B774" s="17" t="n">
        <v>12</v>
      </c>
      <c r="C774" s="17" t="n">
        <v>3</v>
      </c>
      <c r="D774" s="17" t="n">
        <v>2022</v>
      </c>
      <c r="E774" s="18" t="n">
        <v>0.821967592592593</v>
      </c>
      <c r="F774" s="17" t="n">
        <v>1831</v>
      </c>
      <c r="G774" s="17" t="s">
        <v>307</v>
      </c>
      <c r="H774" s="17" t="s">
        <v>250</v>
      </c>
      <c r="I774" s="17" t="s">
        <v>308</v>
      </c>
      <c r="J774" s="17" t="s">
        <v>309</v>
      </c>
      <c r="K774" s="17" t="n">
        <v>37</v>
      </c>
      <c r="L774" s="17" t="s">
        <v>31</v>
      </c>
      <c r="M774" s="17" t="s">
        <v>32</v>
      </c>
      <c r="N774" s="19" t="n">
        <v>10.05</v>
      </c>
      <c r="O774" s="19" t="n">
        <v>371.85</v>
      </c>
      <c r="P774" s="17" t="s">
        <v>33</v>
      </c>
      <c r="Q774" s="20" t="n">
        <f aca="false">DATE(D774,C774,B774)</f>
        <v>44632</v>
      </c>
      <c r="R774" s="17" t="str">
        <f aca="false">IF(HOUR(E774)&lt;6,"Madrugada (0-5 h)",IF(HOUR(E774)&lt;12,"Mañana (6-11 h)",IF(HOUR(E774)&lt;18,"Tarde (12-17 h)","Noche (18-23 h)")))</f>
        <v>Noche (18-23 h)</v>
      </c>
    </row>
    <row r="775" customFormat="false" ht="15" hidden="false" customHeight="false" outlineLevel="0" collapsed="false">
      <c r="A775" s="17" t="n">
        <v>1774</v>
      </c>
      <c r="B775" s="17" t="n">
        <v>20</v>
      </c>
      <c r="C775" s="17" t="n">
        <v>1</v>
      </c>
      <c r="D775" s="17" t="n">
        <v>2021</v>
      </c>
      <c r="E775" s="18" t="n">
        <v>0.156666666666667</v>
      </c>
      <c r="F775" s="17" t="n">
        <v>1868</v>
      </c>
      <c r="G775" s="17" t="s">
        <v>310</v>
      </c>
      <c r="H775" s="17" t="s">
        <v>311</v>
      </c>
      <c r="I775" s="17" t="s">
        <v>312</v>
      </c>
      <c r="J775" s="17" t="s">
        <v>313</v>
      </c>
      <c r="K775" s="17" t="n">
        <v>31</v>
      </c>
      <c r="L775" s="17" t="s">
        <v>31</v>
      </c>
      <c r="M775" s="17" t="s">
        <v>32</v>
      </c>
      <c r="N775" s="19" t="n">
        <v>1.55</v>
      </c>
      <c r="O775" s="19" t="n">
        <v>48.05</v>
      </c>
      <c r="P775" s="17" t="s">
        <v>33</v>
      </c>
      <c r="Q775" s="20" t="n">
        <f aca="false">DATE(D775,C775,B775)</f>
        <v>44216</v>
      </c>
      <c r="R775" s="17" t="str">
        <f aca="false">IF(HOUR(E775)&lt;6,"Madrugada (0-5 h)",IF(HOUR(E775)&lt;12,"Mañana (6-11 h)",IF(HOUR(E775)&lt;18,"Tarde (12-17 h)","Noche (18-23 h)")))</f>
        <v>Madrugada (0-5 h)</v>
      </c>
    </row>
    <row r="776" customFormat="false" ht="15" hidden="false" customHeight="false" outlineLevel="0" collapsed="false">
      <c r="A776" s="17" t="n">
        <v>1775</v>
      </c>
      <c r="B776" s="17" t="n">
        <v>18</v>
      </c>
      <c r="C776" s="17" t="n">
        <v>9</v>
      </c>
      <c r="D776" s="17" t="n">
        <v>2021</v>
      </c>
      <c r="E776" s="18" t="n">
        <v>0.646516203703704</v>
      </c>
      <c r="F776" s="17" t="n">
        <v>3347</v>
      </c>
      <c r="G776" s="17" t="s">
        <v>314</v>
      </c>
      <c r="H776" s="17" t="s">
        <v>315</v>
      </c>
      <c r="I776" s="17" t="s">
        <v>316</v>
      </c>
      <c r="J776" s="17" t="s">
        <v>317</v>
      </c>
      <c r="K776" s="17" t="n">
        <v>44</v>
      </c>
      <c r="L776" s="17" t="s">
        <v>31</v>
      </c>
      <c r="M776" s="17" t="s">
        <v>32</v>
      </c>
      <c r="N776" s="19" t="n">
        <v>4.55</v>
      </c>
      <c r="O776" s="19" t="n">
        <v>200.2</v>
      </c>
      <c r="P776" s="17" t="s">
        <v>33</v>
      </c>
      <c r="Q776" s="20" t="n">
        <f aca="false">DATE(D776,C776,B776)</f>
        <v>44457</v>
      </c>
      <c r="R776" s="17" t="str">
        <f aca="false">IF(HOUR(E776)&lt;6,"Madrugada (0-5 h)",IF(HOUR(E776)&lt;12,"Mañana (6-11 h)",IF(HOUR(E776)&lt;18,"Tarde (12-17 h)","Noche (18-23 h)")))</f>
        <v>Tarde (12-17 h)</v>
      </c>
    </row>
    <row r="777" customFormat="false" ht="15" hidden="false" customHeight="false" outlineLevel="0" collapsed="false">
      <c r="A777" s="17" t="n">
        <v>1776</v>
      </c>
      <c r="B777" s="17" t="n">
        <v>25</v>
      </c>
      <c r="C777" s="17" t="n">
        <v>9</v>
      </c>
      <c r="D777" s="17" t="n">
        <v>2022</v>
      </c>
      <c r="E777" s="18" t="n">
        <v>0.117928240740741</v>
      </c>
      <c r="F777" s="17" t="n">
        <v>3611</v>
      </c>
      <c r="G777" s="17" t="s">
        <v>318</v>
      </c>
      <c r="H777" s="17" t="s">
        <v>319</v>
      </c>
      <c r="I777" s="17" t="s">
        <v>320</v>
      </c>
      <c r="J777" s="17" t="s">
        <v>321</v>
      </c>
      <c r="K777" s="17" t="n">
        <v>35</v>
      </c>
      <c r="L777" s="17" t="s">
        <v>31</v>
      </c>
      <c r="M777" s="17" t="s">
        <v>82</v>
      </c>
      <c r="N777" s="19" t="n">
        <v>5.74</v>
      </c>
      <c r="O777" s="19" t="n">
        <v>200.9</v>
      </c>
      <c r="P777" s="17" t="s">
        <v>33</v>
      </c>
      <c r="Q777" s="20" t="n">
        <f aca="false">DATE(D777,C777,B777)</f>
        <v>44829</v>
      </c>
      <c r="R777" s="17" t="str">
        <f aca="false">IF(HOUR(E777)&lt;6,"Madrugada (0-5 h)",IF(HOUR(E777)&lt;12,"Mañana (6-11 h)",IF(HOUR(E777)&lt;18,"Tarde (12-17 h)","Noche (18-23 h)")))</f>
        <v>Madrugada (0-5 h)</v>
      </c>
    </row>
    <row r="778" customFormat="false" ht="15" hidden="false" customHeight="false" outlineLevel="0" collapsed="false">
      <c r="A778" s="17" t="n">
        <v>1777</v>
      </c>
      <c r="B778" s="17" t="n">
        <v>12</v>
      </c>
      <c r="C778" s="17" t="n">
        <v>3</v>
      </c>
      <c r="D778" s="17" t="n">
        <v>2021</v>
      </c>
      <c r="E778" s="18" t="n">
        <v>0.973761574074074</v>
      </c>
      <c r="F778" s="17" t="n">
        <v>4902</v>
      </c>
      <c r="G778" s="17" t="s">
        <v>322</v>
      </c>
      <c r="H778" s="17" t="s">
        <v>323</v>
      </c>
      <c r="I778" s="17" t="s">
        <v>324</v>
      </c>
      <c r="J778" s="17" t="s">
        <v>325</v>
      </c>
      <c r="K778" s="17" t="n">
        <v>6</v>
      </c>
      <c r="L778" s="17" t="s">
        <v>61</v>
      </c>
      <c r="M778" s="17" t="s">
        <v>76</v>
      </c>
      <c r="N778" s="19" t="n">
        <v>10.99</v>
      </c>
      <c r="O778" s="19" t="n">
        <v>65.94</v>
      </c>
      <c r="P778" s="17" t="s">
        <v>33</v>
      </c>
      <c r="Q778" s="20" t="n">
        <f aca="false">DATE(D778,C778,B778)</f>
        <v>44267</v>
      </c>
      <c r="R778" s="17" t="str">
        <f aca="false">IF(HOUR(E778)&lt;6,"Madrugada (0-5 h)",IF(HOUR(E778)&lt;12,"Mañana (6-11 h)",IF(HOUR(E778)&lt;18,"Tarde (12-17 h)","Noche (18-23 h)")))</f>
        <v>Noche (18-23 h)</v>
      </c>
    </row>
    <row r="779" customFormat="false" ht="15" hidden="false" customHeight="false" outlineLevel="0" collapsed="false">
      <c r="A779" s="17" t="n">
        <v>1778</v>
      </c>
      <c r="B779" s="17" t="n">
        <v>24</v>
      </c>
      <c r="C779" s="17" t="n">
        <v>1</v>
      </c>
      <c r="D779" s="17" t="n">
        <v>2021</v>
      </c>
      <c r="E779" s="18" t="n">
        <v>0.551828703703704</v>
      </c>
      <c r="F779" s="17" t="n">
        <v>3201</v>
      </c>
      <c r="G779" s="17" t="s">
        <v>188</v>
      </c>
      <c r="H779" s="17" t="s">
        <v>326</v>
      </c>
      <c r="I779" s="17" t="s">
        <v>190</v>
      </c>
      <c r="J779" s="17" t="s">
        <v>191</v>
      </c>
      <c r="K779" s="17" t="n">
        <v>9</v>
      </c>
      <c r="L779" s="17" t="s">
        <v>61</v>
      </c>
      <c r="M779" s="17" t="s">
        <v>76</v>
      </c>
      <c r="N779" s="19" t="n">
        <v>13.55</v>
      </c>
      <c r="O779" s="19" t="n">
        <v>121.95</v>
      </c>
      <c r="P779" s="17" t="s">
        <v>43</v>
      </c>
      <c r="Q779" s="20" t="n">
        <f aca="false">DATE(D779,C779,B779)</f>
        <v>44220</v>
      </c>
      <c r="R779" s="17" t="str">
        <f aca="false">IF(HOUR(E779)&lt;6,"Madrugada (0-5 h)",IF(HOUR(E779)&lt;12,"Mañana (6-11 h)",IF(HOUR(E779)&lt;18,"Tarde (12-17 h)","Noche (18-23 h)")))</f>
        <v>Tarde (12-17 h)</v>
      </c>
    </row>
    <row r="780" customFormat="false" ht="15" hidden="false" customHeight="false" outlineLevel="0" collapsed="false">
      <c r="A780" s="17" t="n">
        <v>1779</v>
      </c>
      <c r="B780" s="17" t="n">
        <v>14</v>
      </c>
      <c r="C780" s="17" t="n">
        <v>11</v>
      </c>
      <c r="D780" s="17" t="n">
        <v>2021</v>
      </c>
      <c r="E780" s="18" t="n">
        <v>0.141157407407407</v>
      </c>
      <c r="F780" s="17" t="n">
        <v>1654</v>
      </c>
      <c r="G780" s="17" t="s">
        <v>327</v>
      </c>
      <c r="H780" s="17" t="s">
        <v>84</v>
      </c>
      <c r="I780" s="17" t="s">
        <v>222</v>
      </c>
      <c r="J780" s="17" t="s">
        <v>328</v>
      </c>
      <c r="K780" s="17" t="n">
        <v>14</v>
      </c>
      <c r="L780" s="17" t="s">
        <v>42</v>
      </c>
      <c r="M780" s="17" t="s">
        <v>32</v>
      </c>
      <c r="N780" s="19" t="n">
        <v>5.56</v>
      </c>
      <c r="O780" s="19" t="n">
        <v>77.84</v>
      </c>
      <c r="P780" s="17" t="s">
        <v>33</v>
      </c>
      <c r="Q780" s="20" t="n">
        <f aca="false">DATE(D780,C780,B780)</f>
        <v>44514</v>
      </c>
      <c r="R780" s="17" t="str">
        <f aca="false">IF(HOUR(E780)&lt;6,"Madrugada (0-5 h)",IF(HOUR(E780)&lt;12,"Mañana (6-11 h)",IF(HOUR(E780)&lt;18,"Tarde (12-17 h)","Noche (18-23 h)")))</f>
        <v>Madrugada (0-5 h)</v>
      </c>
    </row>
    <row r="781" customFormat="false" ht="15" hidden="false" customHeight="false" outlineLevel="0" collapsed="false">
      <c r="A781" s="17" t="n">
        <v>1780</v>
      </c>
      <c r="B781" s="17" t="n">
        <v>20</v>
      </c>
      <c r="C781" s="17" t="n">
        <v>5</v>
      </c>
      <c r="D781" s="17" t="n">
        <v>2022</v>
      </c>
      <c r="E781" s="18" t="n">
        <v>0.672476851851852</v>
      </c>
      <c r="F781" s="17" t="n">
        <v>4412</v>
      </c>
      <c r="G781" s="17" t="s">
        <v>329</v>
      </c>
      <c r="H781" s="17" t="s">
        <v>330</v>
      </c>
      <c r="I781" s="17" t="s">
        <v>331</v>
      </c>
      <c r="J781" s="17" t="s">
        <v>332</v>
      </c>
      <c r="K781" s="17" t="n">
        <v>12</v>
      </c>
      <c r="L781" s="17" t="s">
        <v>81</v>
      </c>
      <c r="M781" s="17" t="s">
        <v>333</v>
      </c>
      <c r="N781" s="19" t="n">
        <v>3.32</v>
      </c>
      <c r="O781" s="19" t="n">
        <v>39.84</v>
      </c>
      <c r="P781" s="17" t="s">
        <v>43</v>
      </c>
      <c r="Q781" s="20" t="n">
        <f aca="false">DATE(D781,C781,B781)</f>
        <v>44701</v>
      </c>
      <c r="R781" s="17" t="str">
        <f aca="false">IF(HOUR(E781)&lt;6,"Madrugada (0-5 h)",IF(HOUR(E781)&lt;12,"Mañana (6-11 h)",IF(HOUR(E781)&lt;18,"Tarde (12-17 h)","Noche (18-23 h)")))</f>
        <v>Tarde (12-17 h)</v>
      </c>
    </row>
    <row r="782" customFormat="false" ht="15" hidden="false" customHeight="false" outlineLevel="0" collapsed="false">
      <c r="A782" s="17" t="n">
        <v>1781</v>
      </c>
      <c r="B782" s="17" t="n">
        <v>14</v>
      </c>
      <c r="C782" s="17" t="n">
        <v>12</v>
      </c>
      <c r="D782" s="17" t="n">
        <v>2021</v>
      </c>
      <c r="E782" s="18" t="n">
        <v>0.47306712962963</v>
      </c>
      <c r="F782" s="17" t="n">
        <v>3675</v>
      </c>
      <c r="G782" s="17" t="s">
        <v>334</v>
      </c>
      <c r="H782" s="17" t="s">
        <v>88</v>
      </c>
      <c r="I782" s="17" t="s">
        <v>335</v>
      </c>
      <c r="J782" s="17" t="s">
        <v>336</v>
      </c>
      <c r="K782" s="17" t="n">
        <v>38</v>
      </c>
      <c r="L782" s="17" t="s">
        <v>81</v>
      </c>
      <c r="M782" s="17" t="s">
        <v>333</v>
      </c>
      <c r="N782" s="19" t="n">
        <v>54</v>
      </c>
      <c r="O782" s="19" t="n">
        <v>2052</v>
      </c>
      <c r="P782" s="17" t="s">
        <v>33</v>
      </c>
      <c r="Q782" s="20" t="n">
        <f aca="false">DATE(D782,C782,B782)</f>
        <v>44544</v>
      </c>
      <c r="R782" s="17" t="str">
        <f aca="false">IF(HOUR(E782)&lt;6,"Madrugada (0-5 h)",IF(HOUR(E782)&lt;12,"Mañana (6-11 h)",IF(HOUR(E782)&lt;18,"Tarde (12-17 h)","Noche (18-23 h)")))</f>
        <v>Mañana (6-11 h)</v>
      </c>
    </row>
    <row r="783" customFormat="false" ht="15" hidden="false" customHeight="false" outlineLevel="0" collapsed="false">
      <c r="A783" s="17" t="n">
        <v>1782</v>
      </c>
      <c r="B783" s="17" t="n">
        <v>28</v>
      </c>
      <c r="C783" s="17" t="n">
        <v>12</v>
      </c>
      <c r="D783" s="17" t="n">
        <v>2022</v>
      </c>
      <c r="E783" s="18" t="n">
        <v>0.934907407407407</v>
      </c>
      <c r="F783" s="17" t="n">
        <v>4891</v>
      </c>
      <c r="G783" s="17" t="s">
        <v>337</v>
      </c>
      <c r="H783" s="17" t="s">
        <v>338</v>
      </c>
      <c r="I783" s="17" t="s">
        <v>339</v>
      </c>
      <c r="J783" s="17" t="s">
        <v>340</v>
      </c>
      <c r="K783" s="17" t="n">
        <v>17</v>
      </c>
      <c r="L783" s="17" t="s">
        <v>81</v>
      </c>
      <c r="M783" s="17" t="s">
        <v>333</v>
      </c>
      <c r="N783" s="19" t="n">
        <v>13.42</v>
      </c>
      <c r="O783" s="19" t="n">
        <v>228.14</v>
      </c>
      <c r="P783" s="17" t="s">
        <v>33</v>
      </c>
      <c r="Q783" s="20" t="n">
        <f aca="false">DATE(D783,C783,B783)</f>
        <v>44923</v>
      </c>
      <c r="R783" s="17" t="str">
        <f aca="false">IF(HOUR(E783)&lt;6,"Madrugada (0-5 h)",IF(HOUR(E783)&lt;12,"Mañana (6-11 h)",IF(HOUR(E783)&lt;18,"Tarde (12-17 h)","Noche (18-23 h)")))</f>
        <v>Noche (18-23 h)</v>
      </c>
    </row>
    <row r="784" customFormat="false" ht="15" hidden="false" customHeight="false" outlineLevel="0" collapsed="false">
      <c r="A784" s="17" t="n">
        <v>1783</v>
      </c>
      <c r="B784" s="17" t="n">
        <v>7</v>
      </c>
      <c r="C784" s="17" t="n">
        <v>5</v>
      </c>
      <c r="D784" s="17" t="n">
        <v>2021</v>
      </c>
      <c r="E784" s="18" t="n">
        <v>0.774039351851852</v>
      </c>
      <c r="F784" s="17" t="n">
        <v>4482</v>
      </c>
      <c r="G784" s="17" t="s">
        <v>341</v>
      </c>
      <c r="H784" s="17" t="s">
        <v>342</v>
      </c>
      <c r="I784" s="17" t="s">
        <v>343</v>
      </c>
      <c r="J784" s="17" t="s">
        <v>344</v>
      </c>
      <c r="K784" s="17" t="n">
        <v>39</v>
      </c>
      <c r="L784" s="17" t="s">
        <v>81</v>
      </c>
      <c r="M784" s="17" t="s">
        <v>333</v>
      </c>
      <c r="N784" s="19" t="n">
        <v>45.04</v>
      </c>
      <c r="O784" s="19" t="n">
        <v>1756.56</v>
      </c>
      <c r="P784" s="17" t="s">
        <v>33</v>
      </c>
      <c r="Q784" s="20" t="n">
        <f aca="false">DATE(D784,C784,B784)</f>
        <v>44323</v>
      </c>
      <c r="R784" s="17" t="str">
        <f aca="false">IF(HOUR(E784)&lt;6,"Madrugada (0-5 h)",IF(HOUR(E784)&lt;12,"Mañana (6-11 h)",IF(HOUR(E784)&lt;18,"Tarde (12-17 h)","Noche (18-23 h)")))</f>
        <v>Noche (18-23 h)</v>
      </c>
    </row>
    <row r="785" customFormat="false" ht="15" hidden="false" customHeight="false" outlineLevel="0" collapsed="false">
      <c r="A785" s="17" t="n">
        <v>1784</v>
      </c>
      <c r="B785" s="17" t="n">
        <v>24</v>
      </c>
      <c r="C785" s="17" t="n">
        <v>5</v>
      </c>
      <c r="D785" s="17" t="n">
        <v>2021</v>
      </c>
      <c r="E785" s="18" t="n">
        <v>0.219976851851852</v>
      </c>
      <c r="F785" s="17" t="n">
        <v>1043</v>
      </c>
      <c r="G785" s="17" t="s">
        <v>345</v>
      </c>
      <c r="H785" s="17" t="s">
        <v>346</v>
      </c>
      <c r="I785" s="17" t="s">
        <v>347</v>
      </c>
      <c r="J785" s="17" t="s">
        <v>348</v>
      </c>
      <c r="K785" s="17" t="n">
        <v>38</v>
      </c>
      <c r="L785" s="17" t="s">
        <v>81</v>
      </c>
      <c r="M785" s="17" t="s">
        <v>32</v>
      </c>
      <c r="N785" s="19" t="n">
        <v>20.05</v>
      </c>
      <c r="O785" s="19" t="n">
        <v>761.9</v>
      </c>
      <c r="P785" s="17" t="s">
        <v>33</v>
      </c>
      <c r="Q785" s="20" t="n">
        <f aca="false">DATE(D785,C785,B785)</f>
        <v>44340</v>
      </c>
      <c r="R785" s="17" t="str">
        <f aca="false">IF(HOUR(E785)&lt;6,"Madrugada (0-5 h)",IF(HOUR(E785)&lt;12,"Mañana (6-11 h)",IF(HOUR(E785)&lt;18,"Tarde (12-17 h)","Noche (18-23 h)")))</f>
        <v>Madrugada (0-5 h)</v>
      </c>
    </row>
    <row r="786" customFormat="false" ht="15" hidden="false" customHeight="false" outlineLevel="0" collapsed="false">
      <c r="A786" s="17" t="n">
        <v>1785</v>
      </c>
      <c r="B786" s="17" t="n">
        <v>11</v>
      </c>
      <c r="C786" s="17" t="n">
        <v>2</v>
      </c>
      <c r="D786" s="17" t="n">
        <v>2021</v>
      </c>
      <c r="E786" s="18" t="n">
        <v>0.3340625</v>
      </c>
      <c r="F786" s="17" t="n">
        <v>2880</v>
      </c>
      <c r="G786" s="17" t="s">
        <v>349</v>
      </c>
      <c r="H786" s="17" t="s">
        <v>350</v>
      </c>
      <c r="I786" s="17" t="s">
        <v>351</v>
      </c>
      <c r="J786" s="17" t="s">
        <v>352</v>
      </c>
      <c r="K786" s="17" t="n">
        <v>44</v>
      </c>
      <c r="L786" s="17" t="s">
        <v>81</v>
      </c>
      <c r="M786" s="17" t="s">
        <v>32</v>
      </c>
      <c r="N786" s="19" t="n">
        <v>7.98</v>
      </c>
      <c r="O786" s="19" t="n">
        <v>351.12</v>
      </c>
      <c r="P786" s="17" t="s">
        <v>43</v>
      </c>
      <c r="Q786" s="20" t="n">
        <f aca="false">DATE(D786,C786,B786)</f>
        <v>44238</v>
      </c>
      <c r="R786" s="17" t="str">
        <f aca="false">IF(HOUR(E786)&lt;6,"Madrugada (0-5 h)",IF(HOUR(E786)&lt;12,"Mañana (6-11 h)",IF(HOUR(E786)&lt;18,"Tarde (12-17 h)","Noche (18-23 h)")))</f>
        <v>Mañana (6-11 h)</v>
      </c>
    </row>
    <row r="787" customFormat="false" ht="15" hidden="false" customHeight="false" outlineLevel="0" collapsed="false">
      <c r="A787" s="17" t="n">
        <v>1786</v>
      </c>
      <c r="B787" s="17" t="n">
        <v>14</v>
      </c>
      <c r="C787" s="17" t="n">
        <v>1</v>
      </c>
      <c r="D787" s="17" t="n">
        <v>2022</v>
      </c>
      <c r="E787" s="18" t="n">
        <v>0.277465277777778</v>
      </c>
      <c r="F787" s="17" t="n">
        <v>1647</v>
      </c>
      <c r="G787" s="17" t="s">
        <v>353</v>
      </c>
      <c r="H787" s="17" t="s">
        <v>354</v>
      </c>
      <c r="I787" s="17" t="s">
        <v>355</v>
      </c>
      <c r="J787" s="17" t="s">
        <v>356</v>
      </c>
      <c r="K787" s="17" t="n">
        <v>48</v>
      </c>
      <c r="L787" s="17" t="s">
        <v>125</v>
      </c>
      <c r="M787" s="17" t="s">
        <v>82</v>
      </c>
      <c r="N787" s="19" t="n">
        <v>24.43</v>
      </c>
      <c r="O787" s="19" t="n">
        <v>1172.64</v>
      </c>
      <c r="P787" s="17" t="s">
        <v>33</v>
      </c>
      <c r="Q787" s="20" t="n">
        <f aca="false">DATE(D787,C787,B787)</f>
        <v>44575</v>
      </c>
      <c r="R787" s="17" t="str">
        <f aca="false">IF(HOUR(E787)&lt;6,"Madrugada (0-5 h)",IF(HOUR(E787)&lt;12,"Mañana (6-11 h)",IF(HOUR(E787)&lt;18,"Tarde (12-17 h)","Noche (18-23 h)")))</f>
        <v>Mañana (6-11 h)</v>
      </c>
    </row>
    <row r="788" customFormat="false" ht="15" hidden="false" customHeight="false" outlineLevel="0" collapsed="false">
      <c r="A788" s="17" t="n">
        <v>1787</v>
      </c>
      <c r="B788" s="17" t="n">
        <v>27</v>
      </c>
      <c r="C788" s="17" t="n">
        <v>9</v>
      </c>
      <c r="D788" s="17" t="n">
        <v>2021</v>
      </c>
      <c r="E788" s="18" t="n">
        <v>0.557928240740741</v>
      </c>
      <c r="F788" s="17" t="n">
        <v>3320</v>
      </c>
      <c r="G788" s="17" t="s">
        <v>357</v>
      </c>
      <c r="H788" s="17" t="s">
        <v>358</v>
      </c>
      <c r="I788" s="17" t="s">
        <v>359</v>
      </c>
      <c r="J788" s="17" t="s">
        <v>360</v>
      </c>
      <c r="K788" s="17" t="n">
        <v>30</v>
      </c>
      <c r="L788" s="17" t="s">
        <v>81</v>
      </c>
      <c r="M788" s="17" t="s">
        <v>76</v>
      </c>
      <c r="N788" s="19" t="n">
        <v>6.3</v>
      </c>
      <c r="O788" s="19" t="n">
        <v>189</v>
      </c>
      <c r="P788" s="17" t="s">
        <v>33</v>
      </c>
      <c r="Q788" s="20" t="n">
        <f aca="false">DATE(D788,C788,B788)</f>
        <v>44466</v>
      </c>
      <c r="R788" s="17" t="str">
        <f aca="false">IF(HOUR(E788)&lt;6,"Madrugada (0-5 h)",IF(HOUR(E788)&lt;12,"Mañana (6-11 h)",IF(HOUR(E788)&lt;18,"Tarde (12-17 h)","Noche (18-23 h)")))</f>
        <v>Tarde (12-17 h)</v>
      </c>
    </row>
    <row r="789" customFormat="false" ht="15" hidden="false" customHeight="false" outlineLevel="0" collapsed="false">
      <c r="A789" s="17" t="n">
        <v>1788</v>
      </c>
      <c r="B789" s="17" t="n">
        <v>17</v>
      </c>
      <c r="C789" s="17" t="n">
        <v>1</v>
      </c>
      <c r="D789" s="17" t="n">
        <v>2021</v>
      </c>
      <c r="E789" s="18" t="n">
        <v>0.293981481481482</v>
      </c>
      <c r="F789" s="17" t="n">
        <v>1516</v>
      </c>
      <c r="G789" s="17" t="s">
        <v>361</v>
      </c>
      <c r="H789" s="17" t="s">
        <v>472</v>
      </c>
      <c r="I789" s="17" t="s">
        <v>363</v>
      </c>
      <c r="J789" s="17" t="s">
        <v>364</v>
      </c>
      <c r="K789" s="17" t="n">
        <v>5</v>
      </c>
      <c r="L789" s="17" t="s">
        <v>81</v>
      </c>
      <c r="M789" s="17" t="s">
        <v>76</v>
      </c>
      <c r="N789" s="19" t="n">
        <v>1.89</v>
      </c>
      <c r="O789" s="19" t="n">
        <v>9.45</v>
      </c>
      <c r="P789" s="17" t="s">
        <v>33</v>
      </c>
      <c r="Q789" s="20" t="n">
        <f aca="false">DATE(D789,C789,B789)</f>
        <v>44213</v>
      </c>
      <c r="R789" s="17" t="str">
        <f aca="false">IF(HOUR(E789)&lt;6,"Madrugada (0-5 h)",IF(HOUR(E789)&lt;12,"Mañana (6-11 h)",IF(HOUR(E789)&lt;18,"Tarde (12-17 h)","Noche (18-23 h)")))</f>
        <v>Mañana (6-11 h)</v>
      </c>
    </row>
    <row r="790" customFormat="false" ht="15" hidden="false" customHeight="false" outlineLevel="0" collapsed="false">
      <c r="A790" s="17" t="n">
        <v>1789</v>
      </c>
      <c r="B790" s="17" t="n">
        <v>6</v>
      </c>
      <c r="C790" s="17" t="n">
        <v>5</v>
      </c>
      <c r="D790" s="17" t="n">
        <v>2022</v>
      </c>
      <c r="E790" s="18" t="n">
        <v>0.936423611111111</v>
      </c>
      <c r="F790" s="17" t="n">
        <v>1025</v>
      </c>
      <c r="G790" s="17" t="s">
        <v>365</v>
      </c>
      <c r="H790" s="17" t="s">
        <v>366</v>
      </c>
      <c r="I790" s="17" t="s">
        <v>367</v>
      </c>
      <c r="J790" s="17" t="s">
        <v>368</v>
      </c>
      <c r="K790" s="17" t="n">
        <v>2</v>
      </c>
      <c r="L790" s="17" t="s">
        <v>81</v>
      </c>
      <c r="M790" s="17" t="s">
        <v>32</v>
      </c>
      <c r="N790" s="19" t="n">
        <v>2.3</v>
      </c>
      <c r="O790" s="19" t="n">
        <v>4.6</v>
      </c>
      <c r="P790" s="17" t="s">
        <v>33</v>
      </c>
      <c r="Q790" s="20" t="n">
        <f aca="false">DATE(D790,C790,B790)</f>
        <v>44687</v>
      </c>
      <c r="R790" s="17" t="str">
        <f aca="false">IF(HOUR(E790)&lt;6,"Madrugada (0-5 h)",IF(HOUR(E790)&lt;12,"Mañana (6-11 h)",IF(HOUR(E790)&lt;18,"Tarde (12-17 h)","Noche (18-23 h)")))</f>
        <v>Noche (18-23 h)</v>
      </c>
    </row>
    <row r="791" customFormat="false" ht="15" hidden="false" customHeight="false" outlineLevel="0" collapsed="false">
      <c r="A791" s="17" t="n">
        <v>1790</v>
      </c>
      <c r="B791" s="17" t="n">
        <v>21</v>
      </c>
      <c r="C791" s="17" t="n">
        <v>7</v>
      </c>
      <c r="D791" s="17" t="n">
        <v>2022</v>
      </c>
      <c r="E791" s="18" t="n">
        <v>0.463530092592593</v>
      </c>
      <c r="F791" s="17" t="n">
        <v>2687</v>
      </c>
      <c r="G791" s="17" t="s">
        <v>369</v>
      </c>
      <c r="H791" s="17" t="s">
        <v>370</v>
      </c>
      <c r="I791" s="17" t="s">
        <v>371</v>
      </c>
      <c r="J791" s="17" t="s">
        <v>372</v>
      </c>
      <c r="K791" s="17" t="n">
        <v>49</v>
      </c>
      <c r="L791" s="17" t="s">
        <v>81</v>
      </c>
      <c r="M791" s="17" t="s">
        <v>32</v>
      </c>
      <c r="N791" s="19" t="n">
        <v>6.76</v>
      </c>
      <c r="O791" s="19" t="n">
        <v>331.24</v>
      </c>
      <c r="P791" s="17" t="s">
        <v>33</v>
      </c>
      <c r="Q791" s="20" t="n">
        <f aca="false">DATE(D791,C791,B791)</f>
        <v>44763</v>
      </c>
      <c r="R791" s="17" t="str">
        <f aca="false">IF(HOUR(E791)&lt;6,"Madrugada (0-5 h)",IF(HOUR(E791)&lt;12,"Mañana (6-11 h)",IF(HOUR(E791)&lt;18,"Tarde (12-17 h)","Noche (18-23 h)")))</f>
        <v>Mañana (6-11 h)</v>
      </c>
    </row>
    <row r="792" customFormat="false" ht="15" hidden="false" customHeight="false" outlineLevel="0" collapsed="false">
      <c r="A792" s="17" t="n">
        <v>1791</v>
      </c>
      <c r="B792" s="17" t="n">
        <v>1</v>
      </c>
      <c r="C792" s="17" t="n">
        <v>12</v>
      </c>
      <c r="D792" s="17" t="n">
        <v>2021</v>
      </c>
      <c r="E792" s="18" t="n">
        <v>0.744710648148148</v>
      </c>
      <c r="F792" s="17" t="n">
        <v>2565</v>
      </c>
      <c r="G792" s="17" t="s">
        <v>373</v>
      </c>
      <c r="H792" s="17" t="s">
        <v>374</v>
      </c>
      <c r="I792" s="17" t="s">
        <v>375</v>
      </c>
      <c r="J792" s="17" t="s">
        <v>376</v>
      </c>
      <c r="K792" s="17" t="n">
        <v>43</v>
      </c>
      <c r="L792" s="17" t="s">
        <v>81</v>
      </c>
      <c r="M792" s="17" t="s">
        <v>32</v>
      </c>
      <c r="N792" s="19" t="n">
        <v>7.3</v>
      </c>
      <c r="O792" s="19" t="n">
        <v>313.9</v>
      </c>
      <c r="P792" s="17" t="s">
        <v>43</v>
      </c>
      <c r="Q792" s="20" t="n">
        <f aca="false">DATE(D792,C792,B792)</f>
        <v>44531</v>
      </c>
      <c r="R792" s="17" t="str">
        <f aca="false">IF(HOUR(E792)&lt;6,"Madrugada (0-5 h)",IF(HOUR(E792)&lt;12,"Mañana (6-11 h)",IF(HOUR(E792)&lt;18,"Tarde (12-17 h)","Noche (18-23 h)")))</f>
        <v>Tarde (12-17 h)</v>
      </c>
    </row>
    <row r="793" customFormat="false" ht="15" hidden="false" customHeight="false" outlineLevel="0" collapsed="false">
      <c r="A793" s="17" t="n">
        <v>1792</v>
      </c>
      <c r="B793" s="17" t="n">
        <v>3</v>
      </c>
      <c r="C793" s="17" t="n">
        <v>1</v>
      </c>
      <c r="D793" s="17" t="n">
        <v>2021</v>
      </c>
      <c r="E793" s="18" t="n">
        <v>0.816122685185185</v>
      </c>
      <c r="F793" s="17" t="n">
        <v>4265</v>
      </c>
      <c r="G793" s="17" t="s">
        <v>377</v>
      </c>
      <c r="H793" s="17" t="s">
        <v>137</v>
      </c>
      <c r="I793" s="17" t="s">
        <v>473</v>
      </c>
      <c r="J793" s="17" t="s">
        <v>379</v>
      </c>
      <c r="K793" s="17" t="n">
        <v>33</v>
      </c>
      <c r="L793" s="17" t="s">
        <v>81</v>
      </c>
      <c r="M793" s="17" t="s">
        <v>32</v>
      </c>
      <c r="N793" s="19" t="n">
        <v>6.3</v>
      </c>
      <c r="O793" s="19" t="n">
        <v>207.9</v>
      </c>
      <c r="P793" s="17" t="s">
        <v>33</v>
      </c>
      <c r="Q793" s="20" t="n">
        <f aca="false">DATE(D793,C793,B793)</f>
        <v>44199</v>
      </c>
      <c r="R793" s="17" t="str">
        <f aca="false">IF(HOUR(E793)&lt;6,"Madrugada (0-5 h)",IF(HOUR(E793)&lt;12,"Mañana (6-11 h)",IF(HOUR(E793)&lt;18,"Tarde (12-17 h)","Noche (18-23 h)")))</f>
        <v>Noche (18-23 h)</v>
      </c>
    </row>
    <row r="794" customFormat="false" ht="15" hidden="false" customHeight="false" outlineLevel="0" collapsed="false">
      <c r="A794" s="17" t="n">
        <v>1793</v>
      </c>
      <c r="B794" s="17" t="n">
        <v>14</v>
      </c>
      <c r="C794" s="17" t="n">
        <v>12</v>
      </c>
      <c r="D794" s="17" t="n">
        <v>2022</v>
      </c>
      <c r="E794" s="18" t="n">
        <v>0.811979166666667</v>
      </c>
      <c r="F794" s="17" t="n">
        <v>1347</v>
      </c>
      <c r="G794" s="17" t="s">
        <v>380</v>
      </c>
      <c r="H794" s="17" t="s">
        <v>333</v>
      </c>
      <c r="I794" s="17" t="s">
        <v>381</v>
      </c>
      <c r="J794" s="17" t="s">
        <v>382</v>
      </c>
      <c r="K794" s="17" t="n">
        <v>24</v>
      </c>
      <c r="L794" s="17" t="s">
        <v>81</v>
      </c>
      <c r="M794" s="17" t="s">
        <v>76</v>
      </c>
      <c r="N794" s="19" t="n">
        <v>5.23</v>
      </c>
      <c r="O794" s="19" t="n">
        <v>125.52</v>
      </c>
      <c r="P794" s="17" t="s">
        <v>33</v>
      </c>
      <c r="Q794" s="20" t="n">
        <f aca="false">DATE(D794,C794,B794)</f>
        <v>44909</v>
      </c>
      <c r="R794" s="17" t="str">
        <f aca="false">IF(HOUR(E794)&lt;6,"Madrugada (0-5 h)",IF(HOUR(E794)&lt;12,"Mañana (6-11 h)",IF(HOUR(E794)&lt;18,"Tarde (12-17 h)","Noche (18-23 h)")))</f>
        <v>Noche (18-23 h)</v>
      </c>
    </row>
    <row r="795" customFormat="false" ht="15" hidden="false" customHeight="false" outlineLevel="0" collapsed="false">
      <c r="A795" s="17" t="n">
        <v>1794</v>
      </c>
      <c r="B795" s="17" t="n">
        <v>3</v>
      </c>
      <c r="C795" s="17" t="n">
        <v>10</v>
      </c>
      <c r="D795" s="17" t="n">
        <v>2021</v>
      </c>
      <c r="E795" s="18" t="n">
        <v>0.761006944444445</v>
      </c>
      <c r="F795" s="17" t="n">
        <v>3817</v>
      </c>
      <c r="G795" s="17" t="s">
        <v>383</v>
      </c>
      <c r="H795" s="17" t="s">
        <v>384</v>
      </c>
      <c r="I795" s="17" t="s">
        <v>385</v>
      </c>
      <c r="J795" s="17" t="s">
        <v>386</v>
      </c>
      <c r="K795" s="17" t="n">
        <v>48</v>
      </c>
      <c r="L795" s="17" t="s">
        <v>31</v>
      </c>
      <c r="M795" s="17" t="s">
        <v>32</v>
      </c>
      <c r="N795" s="19" t="n">
        <v>2.01</v>
      </c>
      <c r="O795" s="19" t="n">
        <v>96.48</v>
      </c>
      <c r="P795" s="17" t="s">
        <v>33</v>
      </c>
      <c r="Q795" s="20" t="n">
        <f aca="false">DATE(D795,C795,B795)</f>
        <v>44472</v>
      </c>
      <c r="R795" s="17" t="str">
        <f aca="false">IF(HOUR(E795)&lt;6,"Madrugada (0-5 h)",IF(HOUR(E795)&lt;12,"Mañana (6-11 h)",IF(HOUR(E795)&lt;18,"Tarde (12-17 h)","Noche (18-23 h)")))</f>
        <v>Noche (18-23 h)</v>
      </c>
    </row>
    <row r="796" customFormat="false" ht="15" hidden="false" customHeight="false" outlineLevel="0" collapsed="false">
      <c r="A796" s="17" t="n">
        <v>1795</v>
      </c>
      <c r="B796" s="17" t="n">
        <v>14</v>
      </c>
      <c r="C796" s="17" t="n">
        <v>2</v>
      </c>
      <c r="D796" s="17" t="n">
        <v>2022</v>
      </c>
      <c r="E796" s="18" t="n">
        <v>0.426851851851852</v>
      </c>
      <c r="F796" s="17" t="n">
        <v>1814</v>
      </c>
      <c r="G796" s="17" t="s">
        <v>387</v>
      </c>
      <c r="H796" s="17" t="s">
        <v>474</v>
      </c>
      <c r="I796" s="17" t="s">
        <v>389</v>
      </c>
      <c r="J796" s="17" t="s">
        <v>390</v>
      </c>
      <c r="K796" s="17" t="n">
        <v>29</v>
      </c>
      <c r="L796" s="17" t="s">
        <v>61</v>
      </c>
      <c r="M796" s="17" t="s">
        <v>32</v>
      </c>
      <c r="N796" s="19" t="n">
        <v>14.37</v>
      </c>
      <c r="O796" s="19" t="n">
        <v>416.73</v>
      </c>
      <c r="P796" s="17" t="s">
        <v>33</v>
      </c>
      <c r="Q796" s="20" t="n">
        <f aca="false">DATE(D796,C796,B796)</f>
        <v>44606</v>
      </c>
      <c r="R796" s="17" t="str">
        <f aca="false">IF(HOUR(E796)&lt;6,"Madrugada (0-5 h)",IF(HOUR(E796)&lt;12,"Mañana (6-11 h)",IF(HOUR(E796)&lt;18,"Tarde (12-17 h)","Noche (18-23 h)")))</f>
        <v>Mañana (6-11 h)</v>
      </c>
    </row>
    <row r="797" customFormat="false" ht="15" hidden="false" customHeight="false" outlineLevel="0" collapsed="false">
      <c r="A797" s="17" t="n">
        <v>1796</v>
      </c>
      <c r="B797" s="17" t="n">
        <v>6</v>
      </c>
      <c r="C797" s="17" t="n">
        <v>3</v>
      </c>
      <c r="D797" s="17" t="n">
        <v>2021</v>
      </c>
      <c r="E797" s="18" t="n">
        <v>0.00337962962962963</v>
      </c>
      <c r="F797" s="17" t="n">
        <v>4638</v>
      </c>
      <c r="G797" s="17" t="s">
        <v>391</v>
      </c>
      <c r="H797" s="17" t="s">
        <v>392</v>
      </c>
      <c r="I797" s="17" t="s">
        <v>393</v>
      </c>
      <c r="J797" s="17" t="s">
        <v>394</v>
      </c>
      <c r="K797" s="17" t="n">
        <v>17</v>
      </c>
      <c r="L797" s="17" t="s">
        <v>61</v>
      </c>
      <c r="M797" s="17" t="s">
        <v>32</v>
      </c>
      <c r="N797" s="19" t="n">
        <v>2.03</v>
      </c>
      <c r="O797" s="19" t="n">
        <v>34.51</v>
      </c>
      <c r="P797" s="17" t="s">
        <v>33</v>
      </c>
      <c r="Q797" s="20" t="n">
        <f aca="false">DATE(D797,C797,B797)</f>
        <v>44261</v>
      </c>
      <c r="R797" s="17" t="str">
        <f aca="false">IF(HOUR(E797)&lt;6,"Madrugada (0-5 h)",IF(HOUR(E797)&lt;12,"Mañana (6-11 h)",IF(HOUR(E797)&lt;18,"Tarde (12-17 h)","Noche (18-23 h)")))</f>
        <v>Madrugada (0-5 h)</v>
      </c>
    </row>
    <row r="798" customFormat="false" ht="15" hidden="false" customHeight="false" outlineLevel="0" collapsed="false">
      <c r="A798" s="17" t="n">
        <v>1797</v>
      </c>
      <c r="B798" s="17" t="n">
        <v>1</v>
      </c>
      <c r="C798" s="17" t="n">
        <v>1</v>
      </c>
      <c r="D798" s="17" t="n">
        <v>2021</v>
      </c>
      <c r="E798" s="18" t="n">
        <v>0.428055555555556</v>
      </c>
      <c r="F798" s="17" t="n">
        <v>2709</v>
      </c>
      <c r="G798" s="17" t="s">
        <v>395</v>
      </c>
      <c r="H798" s="17" t="s">
        <v>396</v>
      </c>
      <c r="I798" s="17" t="s">
        <v>397</v>
      </c>
      <c r="J798" s="17" t="s">
        <v>398</v>
      </c>
      <c r="K798" s="17" t="n">
        <v>31</v>
      </c>
      <c r="L798" s="17" t="s">
        <v>61</v>
      </c>
      <c r="M798" s="17" t="s">
        <v>32</v>
      </c>
      <c r="N798" s="19" t="n">
        <v>16.45</v>
      </c>
      <c r="O798" s="19" t="n">
        <v>509.95</v>
      </c>
      <c r="P798" s="17" t="s">
        <v>33</v>
      </c>
      <c r="Q798" s="20" t="n">
        <f aca="false">DATE(D798,C798,B798)</f>
        <v>44197</v>
      </c>
      <c r="R798" s="17" t="str">
        <f aca="false">IF(HOUR(E798)&lt;6,"Madrugada (0-5 h)",IF(HOUR(E798)&lt;12,"Mañana (6-11 h)",IF(HOUR(E798)&lt;18,"Tarde (12-17 h)","Noche (18-23 h)")))</f>
        <v>Mañana (6-11 h)</v>
      </c>
    </row>
    <row r="799" customFormat="false" ht="15" hidden="false" customHeight="false" outlineLevel="0" collapsed="false">
      <c r="A799" s="17" t="n">
        <v>1798</v>
      </c>
      <c r="B799" s="17" t="n">
        <v>8</v>
      </c>
      <c r="C799" s="17" t="n">
        <v>9</v>
      </c>
      <c r="D799" s="17" t="n">
        <v>2022</v>
      </c>
      <c r="E799" s="18" t="n">
        <v>0.316631944444444</v>
      </c>
      <c r="F799" s="17" t="n">
        <v>1628</v>
      </c>
      <c r="G799" s="17" t="s">
        <v>399</v>
      </c>
      <c r="H799" s="17" t="s">
        <v>400</v>
      </c>
      <c r="I799" s="17" t="s">
        <v>401</v>
      </c>
      <c r="J799" s="17" t="s">
        <v>402</v>
      </c>
      <c r="K799" s="17" t="n">
        <v>33</v>
      </c>
      <c r="L799" s="17" t="s">
        <v>98</v>
      </c>
      <c r="M799" s="17" t="s">
        <v>32</v>
      </c>
      <c r="N799" s="19" t="n">
        <v>15.52</v>
      </c>
      <c r="O799" s="19" t="n">
        <v>512.16</v>
      </c>
      <c r="P799" s="17" t="s">
        <v>43</v>
      </c>
      <c r="Q799" s="20" t="n">
        <f aca="false">DATE(D799,C799,B799)</f>
        <v>44812</v>
      </c>
      <c r="R799" s="17" t="str">
        <f aca="false">IF(HOUR(E799)&lt;6,"Madrugada (0-5 h)",IF(HOUR(E799)&lt;12,"Mañana (6-11 h)",IF(HOUR(E799)&lt;18,"Tarde (12-17 h)","Noche (18-23 h)")))</f>
        <v>Mañana (6-11 h)</v>
      </c>
    </row>
    <row r="800" customFormat="false" ht="15" hidden="false" customHeight="false" outlineLevel="0" collapsed="false">
      <c r="A800" s="17" t="n">
        <v>1799</v>
      </c>
      <c r="B800" s="17" t="n">
        <v>11</v>
      </c>
      <c r="C800" s="17" t="n">
        <v>8</v>
      </c>
      <c r="D800" s="17" t="n">
        <v>2021</v>
      </c>
      <c r="E800" s="18" t="n">
        <v>0.321689814814815</v>
      </c>
      <c r="F800" s="17" t="n">
        <v>4548</v>
      </c>
      <c r="G800" s="17" t="s">
        <v>403</v>
      </c>
      <c r="H800" s="17" t="s">
        <v>404</v>
      </c>
      <c r="I800" s="17" t="s">
        <v>405</v>
      </c>
      <c r="J800" s="17" t="s">
        <v>406</v>
      </c>
      <c r="K800" s="17" t="n">
        <v>10</v>
      </c>
      <c r="L800" s="17" t="s">
        <v>31</v>
      </c>
      <c r="M800" s="17" t="s">
        <v>333</v>
      </c>
      <c r="N800" s="19" t="n">
        <v>5.98</v>
      </c>
      <c r="O800" s="19" t="n">
        <v>59.8</v>
      </c>
      <c r="P800" s="17" t="s">
        <v>43</v>
      </c>
      <c r="Q800" s="20" t="n">
        <f aca="false">DATE(D800,C800,B800)</f>
        <v>44419</v>
      </c>
      <c r="R800" s="17" t="str">
        <f aca="false">IF(HOUR(E800)&lt;6,"Madrugada (0-5 h)",IF(HOUR(E800)&lt;12,"Mañana (6-11 h)",IF(HOUR(E800)&lt;18,"Tarde (12-17 h)","Noche (18-23 h)")))</f>
        <v>Mañana (6-11 h)</v>
      </c>
    </row>
    <row r="801" customFormat="false" ht="15" hidden="false" customHeight="false" outlineLevel="0" collapsed="false">
      <c r="A801" s="17" t="n">
        <v>1800</v>
      </c>
      <c r="B801" s="17" t="n">
        <v>20</v>
      </c>
      <c r="C801" s="17" t="n">
        <v>3</v>
      </c>
      <c r="D801" s="17" t="n">
        <v>2021</v>
      </c>
      <c r="E801" s="18" t="n">
        <v>0.542256944444445</v>
      </c>
      <c r="F801" s="17" t="n">
        <v>3385</v>
      </c>
      <c r="G801" s="17" t="s">
        <v>407</v>
      </c>
      <c r="H801" s="17" t="s">
        <v>408</v>
      </c>
      <c r="I801" s="17" t="s">
        <v>409</v>
      </c>
      <c r="J801" s="17" t="s">
        <v>410</v>
      </c>
      <c r="K801" s="17" t="n">
        <v>35</v>
      </c>
      <c r="L801" s="17" t="s">
        <v>81</v>
      </c>
      <c r="M801" s="17" t="s">
        <v>333</v>
      </c>
      <c r="N801" s="19" t="n">
        <v>0.5</v>
      </c>
      <c r="O801" s="19" t="n">
        <v>17.5</v>
      </c>
      <c r="P801" s="17" t="s">
        <v>33</v>
      </c>
      <c r="Q801" s="20" t="n">
        <f aca="false">DATE(D801,C801,B801)</f>
        <v>44275</v>
      </c>
      <c r="R801" s="17" t="str">
        <f aca="false">IF(HOUR(E801)&lt;6,"Madrugada (0-5 h)",IF(HOUR(E801)&lt;12,"Mañana (6-11 h)",IF(HOUR(E801)&lt;18,"Tarde (12-17 h)","Noche (18-23 h)")))</f>
        <v>Tarde (12-17 h)</v>
      </c>
    </row>
    <row r="802" customFormat="false" ht="15" hidden="false" customHeight="false" outlineLevel="0" collapsed="false">
      <c r="A802" s="17" t="n">
        <v>1801</v>
      </c>
      <c r="B802" s="17" t="n">
        <v>13</v>
      </c>
      <c r="C802" s="17" t="n">
        <v>6</v>
      </c>
      <c r="D802" s="17" t="n">
        <v>2021</v>
      </c>
      <c r="E802" s="18" t="n">
        <v>0.0711574074074074</v>
      </c>
      <c r="F802" s="17" t="n">
        <v>3172</v>
      </c>
      <c r="G802" s="17" t="s">
        <v>27</v>
      </c>
      <c r="H802" s="17" t="s">
        <v>28</v>
      </c>
      <c r="I802" s="17" t="s">
        <v>29</v>
      </c>
      <c r="J802" s="17" t="s">
        <v>30</v>
      </c>
      <c r="K802" s="17" t="n">
        <v>11</v>
      </c>
      <c r="L802" s="17" t="s">
        <v>31</v>
      </c>
      <c r="M802" s="17" t="s">
        <v>32</v>
      </c>
      <c r="N802" s="19" t="n">
        <v>3.56</v>
      </c>
      <c r="O802" s="19" t="n">
        <v>39.16</v>
      </c>
      <c r="P802" s="17" t="s">
        <v>33</v>
      </c>
      <c r="Q802" s="20" t="n">
        <f aca="false">DATE(D802,C802,B802)</f>
        <v>44360</v>
      </c>
      <c r="R802" s="17" t="str">
        <f aca="false">IF(HOUR(E802)&lt;6,"Madrugada (0-5 h)",IF(HOUR(E802)&lt;12,"Mañana (6-11 h)",IF(HOUR(E802)&lt;18,"Tarde (12-17 h)","Noche (18-23 h)")))</f>
        <v>Madrugada (0-5 h)</v>
      </c>
    </row>
    <row r="803" customFormat="false" ht="15" hidden="false" customHeight="false" outlineLevel="0" collapsed="false">
      <c r="A803" s="17" t="n">
        <v>1802</v>
      </c>
      <c r="B803" s="17" t="n">
        <v>25</v>
      </c>
      <c r="C803" s="17" t="n">
        <v>11</v>
      </c>
      <c r="D803" s="17" t="n">
        <v>2021</v>
      </c>
      <c r="E803" s="18" t="n">
        <v>0.719652777777778</v>
      </c>
      <c r="F803" s="17" t="n">
        <v>3119</v>
      </c>
      <c r="G803" s="17" t="s">
        <v>34</v>
      </c>
      <c r="H803" s="17" t="s">
        <v>35</v>
      </c>
      <c r="I803" s="17" t="s">
        <v>36</v>
      </c>
      <c r="J803" s="17" t="s">
        <v>37</v>
      </c>
      <c r="K803" s="17" t="n">
        <v>38</v>
      </c>
      <c r="L803" s="17" t="s">
        <v>31</v>
      </c>
      <c r="M803" s="17" t="s">
        <v>32</v>
      </c>
      <c r="N803" s="19" t="n">
        <v>3.21</v>
      </c>
      <c r="O803" s="19" t="n">
        <v>121.98</v>
      </c>
      <c r="P803" s="17" t="s">
        <v>33</v>
      </c>
      <c r="Q803" s="20" t="n">
        <f aca="false">DATE(D803,C803,B803)</f>
        <v>44525</v>
      </c>
      <c r="R803" s="17" t="str">
        <f aca="false">IF(HOUR(E803)&lt;6,"Madrugada (0-5 h)",IF(HOUR(E803)&lt;12,"Mañana (6-11 h)",IF(HOUR(E803)&lt;18,"Tarde (12-17 h)","Noche (18-23 h)")))</f>
        <v>Tarde (12-17 h)</v>
      </c>
    </row>
    <row r="804" customFormat="false" ht="15" hidden="false" customHeight="false" outlineLevel="0" collapsed="false">
      <c r="A804" s="17" t="n">
        <v>1803</v>
      </c>
      <c r="B804" s="17" t="n">
        <v>2</v>
      </c>
      <c r="C804" s="17" t="n">
        <v>4</v>
      </c>
      <c r="D804" s="17" t="n">
        <v>2022</v>
      </c>
      <c r="E804" s="18" t="n">
        <v>0.153923611111111</v>
      </c>
      <c r="F804" s="17" t="n">
        <v>2138</v>
      </c>
      <c r="G804" s="17" t="s">
        <v>38</v>
      </c>
      <c r="H804" s="17" t="s">
        <v>475</v>
      </c>
      <c r="I804" s="17" t="s">
        <v>40</v>
      </c>
      <c r="J804" s="17" t="s">
        <v>41</v>
      </c>
      <c r="K804" s="17" t="n">
        <v>20</v>
      </c>
      <c r="L804" s="17" t="s">
        <v>42</v>
      </c>
      <c r="M804" s="17" t="s">
        <v>32</v>
      </c>
      <c r="N804" s="19" t="n">
        <v>12.36</v>
      </c>
      <c r="O804" s="19" t="n">
        <v>247.2</v>
      </c>
      <c r="P804" s="17" t="s">
        <v>43</v>
      </c>
      <c r="Q804" s="20" t="n">
        <f aca="false">DATE(D804,C804,B804)</f>
        <v>44653</v>
      </c>
      <c r="R804" s="17" t="str">
        <f aca="false">IF(HOUR(E804)&lt;6,"Madrugada (0-5 h)",IF(HOUR(E804)&lt;12,"Mañana (6-11 h)",IF(HOUR(E804)&lt;18,"Tarde (12-17 h)","Noche (18-23 h)")))</f>
        <v>Madrugada (0-5 h)</v>
      </c>
    </row>
    <row r="805" customFormat="false" ht="15" hidden="false" customHeight="false" outlineLevel="0" collapsed="false">
      <c r="A805" s="17" t="n">
        <v>1804</v>
      </c>
      <c r="B805" s="17" t="n">
        <v>27</v>
      </c>
      <c r="C805" s="17" t="n">
        <v>2</v>
      </c>
      <c r="D805" s="17" t="n">
        <v>2021</v>
      </c>
      <c r="E805" s="18" t="n">
        <v>0.996354166666667</v>
      </c>
      <c r="F805" s="17" t="n">
        <v>2434</v>
      </c>
      <c r="G805" s="17" t="s">
        <v>44</v>
      </c>
      <c r="H805" s="17" t="s">
        <v>45</v>
      </c>
      <c r="I805" s="17" t="s">
        <v>46</v>
      </c>
      <c r="J805" s="17" t="s">
        <v>47</v>
      </c>
      <c r="K805" s="17" t="n">
        <v>49</v>
      </c>
      <c r="L805" s="17" t="s">
        <v>31</v>
      </c>
      <c r="M805" s="17" t="s">
        <v>48</v>
      </c>
      <c r="N805" s="19" t="n">
        <v>10.03</v>
      </c>
      <c r="O805" s="19" t="n">
        <v>491.47</v>
      </c>
      <c r="P805" s="17" t="s">
        <v>33</v>
      </c>
      <c r="Q805" s="20" t="n">
        <f aca="false">DATE(D805,C805,B805)</f>
        <v>44254</v>
      </c>
      <c r="R805" s="17" t="str">
        <f aca="false">IF(HOUR(E805)&lt;6,"Madrugada (0-5 h)",IF(HOUR(E805)&lt;12,"Mañana (6-11 h)",IF(HOUR(E805)&lt;18,"Tarde (12-17 h)","Noche (18-23 h)")))</f>
        <v>Noche (18-23 h)</v>
      </c>
    </row>
    <row r="806" customFormat="false" ht="15" hidden="false" customHeight="false" outlineLevel="0" collapsed="false">
      <c r="A806" s="17" t="n">
        <v>1805</v>
      </c>
      <c r="B806" s="17" t="n">
        <v>24</v>
      </c>
      <c r="C806" s="17" t="n">
        <v>5</v>
      </c>
      <c r="D806" s="17" t="n">
        <v>2021</v>
      </c>
      <c r="E806" s="18" t="n">
        <v>0.82875</v>
      </c>
      <c r="F806" s="17" t="n">
        <v>4992</v>
      </c>
      <c r="G806" s="17" t="s">
        <v>49</v>
      </c>
      <c r="H806" s="17" t="s">
        <v>50</v>
      </c>
      <c r="I806" s="17" t="s">
        <v>51</v>
      </c>
      <c r="J806" s="17" t="s">
        <v>52</v>
      </c>
      <c r="K806" s="17" t="n">
        <v>5</v>
      </c>
      <c r="L806" s="17" t="s">
        <v>31</v>
      </c>
      <c r="M806" s="17" t="s">
        <v>48</v>
      </c>
      <c r="N806" s="19" t="n">
        <v>16.05</v>
      </c>
      <c r="O806" s="19" t="n">
        <v>80.25</v>
      </c>
      <c r="P806" s="17" t="s">
        <v>33</v>
      </c>
      <c r="Q806" s="20" t="n">
        <f aca="false">DATE(D806,C806,B806)</f>
        <v>44340</v>
      </c>
      <c r="R806" s="17" t="str">
        <f aca="false">IF(HOUR(E806)&lt;6,"Madrugada (0-5 h)",IF(HOUR(E806)&lt;12,"Mañana (6-11 h)",IF(HOUR(E806)&lt;18,"Tarde (12-17 h)","Noche (18-23 h)")))</f>
        <v>Noche (18-23 h)</v>
      </c>
    </row>
    <row r="807" customFormat="false" ht="15" hidden="false" customHeight="false" outlineLevel="0" collapsed="false">
      <c r="A807" s="17" t="n">
        <v>1806</v>
      </c>
      <c r="B807" s="17" t="n">
        <v>10</v>
      </c>
      <c r="C807" s="17" t="n">
        <v>7</v>
      </c>
      <c r="D807" s="17" t="n">
        <v>2021</v>
      </c>
      <c r="E807" s="18" t="n">
        <v>0.000324074074074074</v>
      </c>
      <c r="F807" s="17" t="n">
        <v>2196</v>
      </c>
      <c r="G807" s="17" t="s">
        <v>53</v>
      </c>
      <c r="H807" s="17" t="s">
        <v>54</v>
      </c>
      <c r="I807" s="17" t="s">
        <v>55</v>
      </c>
      <c r="J807" s="17" t="s">
        <v>56</v>
      </c>
      <c r="K807" s="17" t="n">
        <v>14</v>
      </c>
      <c r="L807" s="17" t="s">
        <v>31</v>
      </c>
      <c r="M807" s="17" t="s">
        <v>48</v>
      </c>
      <c r="N807" s="19" t="n">
        <v>16.5</v>
      </c>
      <c r="O807" s="19" t="n">
        <v>231</v>
      </c>
      <c r="P807" s="17" t="s">
        <v>33</v>
      </c>
      <c r="Q807" s="20" t="n">
        <f aca="false">DATE(D807,C807,B807)</f>
        <v>44387</v>
      </c>
      <c r="R807" s="17" t="str">
        <f aca="false">IF(HOUR(E807)&lt;6,"Madrugada (0-5 h)",IF(HOUR(E807)&lt;12,"Mañana (6-11 h)",IF(HOUR(E807)&lt;18,"Tarde (12-17 h)","Noche (18-23 h)")))</f>
        <v>Madrugada (0-5 h)</v>
      </c>
    </row>
    <row r="808" customFormat="false" ht="15" hidden="false" customHeight="false" outlineLevel="0" collapsed="false">
      <c r="A808" s="17" t="n">
        <v>1807</v>
      </c>
      <c r="B808" s="17" t="n">
        <v>24</v>
      </c>
      <c r="C808" s="17" t="n">
        <v>6</v>
      </c>
      <c r="D808" s="17" t="n">
        <v>2021</v>
      </c>
      <c r="E808" s="18" t="n">
        <v>0.603252314814815</v>
      </c>
      <c r="F808" s="17" t="n">
        <v>4707</v>
      </c>
      <c r="G808" s="17" t="s">
        <v>57</v>
      </c>
      <c r="H808" s="17" t="s">
        <v>58</v>
      </c>
      <c r="I808" s="17" t="s">
        <v>59</v>
      </c>
      <c r="J808" s="17" t="s">
        <v>60</v>
      </c>
      <c r="K808" s="17" t="n">
        <v>30</v>
      </c>
      <c r="L808" s="17" t="s">
        <v>61</v>
      </c>
      <c r="M808" s="17" t="s">
        <v>62</v>
      </c>
      <c r="N808" s="19" t="n">
        <v>4.13</v>
      </c>
      <c r="O808" s="19" t="n">
        <v>123.9</v>
      </c>
      <c r="P808" s="17" t="s">
        <v>43</v>
      </c>
      <c r="Q808" s="20" t="n">
        <f aca="false">DATE(D808,C808,B808)</f>
        <v>44371</v>
      </c>
      <c r="R808" s="17" t="str">
        <f aca="false">IF(HOUR(E808)&lt;6,"Madrugada (0-5 h)",IF(HOUR(E808)&lt;12,"Mañana (6-11 h)",IF(HOUR(E808)&lt;18,"Tarde (12-17 h)","Noche (18-23 h)")))</f>
        <v>Tarde (12-17 h)</v>
      </c>
    </row>
    <row r="809" customFormat="false" ht="15" hidden="false" customHeight="false" outlineLevel="0" collapsed="false">
      <c r="A809" s="17" t="n">
        <v>1808</v>
      </c>
      <c r="B809" s="17" t="n">
        <v>9</v>
      </c>
      <c r="C809" s="17" t="n">
        <v>2</v>
      </c>
      <c r="D809" s="17" t="n">
        <v>2022</v>
      </c>
      <c r="E809" s="18" t="n">
        <v>0.429710648148148</v>
      </c>
      <c r="F809" s="17" t="n">
        <v>3500</v>
      </c>
      <c r="G809" s="17" t="s">
        <v>63</v>
      </c>
      <c r="H809" s="17" t="s">
        <v>64</v>
      </c>
      <c r="I809" s="17" t="s">
        <v>65</v>
      </c>
      <c r="J809" s="17" t="s">
        <v>66</v>
      </c>
      <c r="K809" s="17" t="n">
        <v>32</v>
      </c>
      <c r="L809" s="17" t="s">
        <v>61</v>
      </c>
      <c r="M809" s="17" t="s">
        <v>32</v>
      </c>
      <c r="N809" s="19" t="n">
        <v>11.5</v>
      </c>
      <c r="O809" s="19" t="n">
        <v>368</v>
      </c>
      <c r="P809" s="17" t="s">
        <v>33</v>
      </c>
      <c r="Q809" s="20" t="n">
        <f aca="false">DATE(D809,C809,B809)</f>
        <v>44601</v>
      </c>
      <c r="R809" s="17" t="str">
        <f aca="false">IF(HOUR(E809)&lt;6,"Madrugada (0-5 h)",IF(HOUR(E809)&lt;12,"Mañana (6-11 h)",IF(HOUR(E809)&lt;18,"Tarde (12-17 h)","Noche (18-23 h)")))</f>
        <v>Mañana (6-11 h)</v>
      </c>
    </row>
    <row r="810" customFormat="false" ht="15" hidden="false" customHeight="false" outlineLevel="0" collapsed="false">
      <c r="A810" s="17" t="n">
        <v>1809</v>
      </c>
      <c r="B810" s="17" t="n">
        <v>23</v>
      </c>
      <c r="C810" s="17" t="n">
        <v>4</v>
      </c>
      <c r="D810" s="17" t="n">
        <v>2022</v>
      </c>
      <c r="E810" s="18" t="n">
        <v>0.401770833333333</v>
      </c>
      <c r="F810" s="17" t="n">
        <v>1551</v>
      </c>
      <c r="G810" s="17" t="s">
        <v>67</v>
      </c>
      <c r="H810" s="17" t="s">
        <v>68</v>
      </c>
      <c r="I810" s="17" t="s">
        <v>69</v>
      </c>
      <c r="J810" s="17" t="s">
        <v>70</v>
      </c>
      <c r="K810" s="17" t="n">
        <v>35</v>
      </c>
      <c r="L810" s="17" t="s">
        <v>31</v>
      </c>
      <c r="M810" s="17" t="s">
        <v>71</v>
      </c>
      <c r="N810" s="19" t="n">
        <v>5.5</v>
      </c>
      <c r="O810" s="19" t="n">
        <v>192.5</v>
      </c>
      <c r="P810" s="17" t="s">
        <v>33</v>
      </c>
      <c r="Q810" s="20" t="n">
        <f aca="false">DATE(D810,C810,B810)</f>
        <v>44674</v>
      </c>
      <c r="R810" s="17" t="str">
        <f aca="false">IF(HOUR(E810)&lt;6,"Madrugada (0-5 h)",IF(HOUR(E810)&lt;12,"Mañana (6-11 h)",IF(HOUR(E810)&lt;18,"Tarde (12-17 h)","Noche (18-23 h)")))</f>
        <v>Mañana (6-11 h)</v>
      </c>
    </row>
    <row r="811" customFormat="false" ht="15" hidden="false" customHeight="false" outlineLevel="0" collapsed="false">
      <c r="A811" s="17" t="n">
        <v>1810</v>
      </c>
      <c r="B811" s="17" t="n">
        <v>17</v>
      </c>
      <c r="C811" s="17" t="n">
        <v>1</v>
      </c>
      <c r="D811" s="17" t="n">
        <v>2022</v>
      </c>
      <c r="E811" s="18" t="n">
        <v>0.936446759259259</v>
      </c>
      <c r="F811" s="17" t="n">
        <v>1824</v>
      </c>
      <c r="G811" s="17" t="s">
        <v>72</v>
      </c>
      <c r="H811" s="17" t="s">
        <v>73</v>
      </c>
      <c r="I811" s="17" t="s">
        <v>74</v>
      </c>
      <c r="J811" s="17" t="s">
        <v>75</v>
      </c>
      <c r="K811" s="17" t="n">
        <v>22</v>
      </c>
      <c r="L811" s="17" t="s">
        <v>61</v>
      </c>
      <c r="M811" s="17" t="s">
        <v>76</v>
      </c>
      <c r="N811" s="19" t="n">
        <v>13.71</v>
      </c>
      <c r="O811" s="19" t="n">
        <v>301.62</v>
      </c>
      <c r="P811" s="17" t="s">
        <v>33</v>
      </c>
      <c r="Q811" s="20" t="n">
        <f aca="false">DATE(D811,C811,B811)</f>
        <v>44578</v>
      </c>
      <c r="R811" s="17" t="str">
        <f aca="false">IF(HOUR(E811)&lt;6,"Madrugada (0-5 h)",IF(HOUR(E811)&lt;12,"Mañana (6-11 h)",IF(HOUR(E811)&lt;18,"Tarde (12-17 h)","Noche (18-23 h)")))</f>
        <v>Noche (18-23 h)</v>
      </c>
    </row>
    <row r="812" customFormat="false" ht="15" hidden="false" customHeight="false" outlineLevel="0" collapsed="false">
      <c r="A812" s="17" t="n">
        <v>1811</v>
      </c>
      <c r="B812" s="17" t="n">
        <v>20</v>
      </c>
      <c r="C812" s="17" t="n">
        <v>2</v>
      </c>
      <c r="D812" s="17" t="n">
        <v>2021</v>
      </c>
      <c r="E812" s="18" t="n">
        <v>0.676909722222222</v>
      </c>
      <c r="F812" s="17" t="n">
        <v>2920</v>
      </c>
      <c r="G812" s="17" t="s">
        <v>77</v>
      </c>
      <c r="H812" s="17" t="s">
        <v>78</v>
      </c>
      <c r="I812" s="17" t="s">
        <v>79</v>
      </c>
      <c r="J812" s="17" t="s">
        <v>80</v>
      </c>
      <c r="K812" s="17" t="n">
        <v>7</v>
      </c>
      <c r="L812" s="17" t="s">
        <v>412</v>
      </c>
      <c r="M812" s="17" t="s">
        <v>82</v>
      </c>
      <c r="N812" s="19" t="n">
        <v>7.89</v>
      </c>
      <c r="O812" s="19" t="n">
        <v>55.23</v>
      </c>
      <c r="P812" s="17" t="s">
        <v>33</v>
      </c>
      <c r="Q812" s="20" t="n">
        <f aca="false">DATE(D812,C812,B812)</f>
        <v>44247</v>
      </c>
      <c r="R812" s="17" t="str">
        <f aca="false">IF(HOUR(E812)&lt;6,"Madrugada (0-5 h)",IF(HOUR(E812)&lt;12,"Mañana (6-11 h)",IF(HOUR(E812)&lt;18,"Tarde (12-17 h)","Noche (18-23 h)")))</f>
        <v>Tarde (12-17 h)</v>
      </c>
    </row>
    <row r="813" customFormat="false" ht="15" hidden="false" customHeight="false" outlineLevel="0" collapsed="false">
      <c r="A813" s="17" t="n">
        <v>1812</v>
      </c>
      <c r="B813" s="17" t="n">
        <v>10</v>
      </c>
      <c r="C813" s="17" t="n">
        <v>6</v>
      </c>
      <c r="D813" s="17" t="n">
        <v>2021</v>
      </c>
      <c r="E813" s="18" t="n">
        <v>0.599074074074074</v>
      </c>
      <c r="F813" s="17" t="n">
        <v>4767</v>
      </c>
      <c r="G813" s="17" t="s">
        <v>83</v>
      </c>
      <c r="H813" s="17" t="s">
        <v>84</v>
      </c>
      <c r="I813" s="17" t="s">
        <v>85</v>
      </c>
      <c r="J813" s="17" t="s">
        <v>86</v>
      </c>
      <c r="K813" s="17" t="n">
        <v>33</v>
      </c>
      <c r="L813" s="17" t="s">
        <v>42</v>
      </c>
      <c r="M813" s="17" t="s">
        <v>32</v>
      </c>
      <c r="N813" s="19" t="n">
        <v>6</v>
      </c>
      <c r="O813" s="19" t="n">
        <v>198</v>
      </c>
      <c r="P813" s="17" t="s">
        <v>43</v>
      </c>
      <c r="Q813" s="20" t="n">
        <f aca="false">DATE(D813,C813,B813)</f>
        <v>44357</v>
      </c>
      <c r="R813" s="17" t="str">
        <f aca="false">IF(HOUR(E813)&lt;6,"Madrugada (0-5 h)",IF(HOUR(E813)&lt;12,"Mañana (6-11 h)",IF(HOUR(E813)&lt;18,"Tarde (12-17 h)","Noche (18-23 h)")))</f>
        <v>Tarde (12-17 h)</v>
      </c>
    </row>
    <row r="814" customFormat="false" ht="15" hidden="false" customHeight="false" outlineLevel="0" collapsed="false">
      <c r="A814" s="17" t="n">
        <v>1813</v>
      </c>
      <c r="B814" s="17" t="n">
        <v>3</v>
      </c>
      <c r="C814" s="17" t="n">
        <v>4</v>
      </c>
      <c r="D814" s="17" t="n">
        <v>2021</v>
      </c>
      <c r="E814" s="18" t="n">
        <v>0.122384259259259</v>
      </c>
      <c r="F814" s="17" t="n">
        <v>4087</v>
      </c>
      <c r="G814" s="17" t="s">
        <v>87</v>
      </c>
      <c r="H814" s="17" t="s">
        <v>88</v>
      </c>
      <c r="I814" s="17" t="s">
        <v>89</v>
      </c>
      <c r="J814" s="17" t="s">
        <v>90</v>
      </c>
      <c r="K814" s="17" t="n">
        <v>36</v>
      </c>
      <c r="L814" s="17" t="s">
        <v>31</v>
      </c>
      <c r="M814" s="17" t="s">
        <v>48</v>
      </c>
      <c r="N814" s="19" t="n">
        <v>13.54</v>
      </c>
      <c r="O814" s="19" t="n">
        <v>487.44</v>
      </c>
      <c r="P814" s="17" t="s">
        <v>33</v>
      </c>
      <c r="Q814" s="20" t="n">
        <f aca="false">DATE(D814,C814,B814)</f>
        <v>44289</v>
      </c>
      <c r="R814" s="17" t="str">
        <f aca="false">IF(HOUR(E814)&lt;6,"Madrugada (0-5 h)",IF(HOUR(E814)&lt;12,"Mañana (6-11 h)",IF(HOUR(E814)&lt;18,"Tarde (12-17 h)","Noche (18-23 h)")))</f>
        <v>Madrugada (0-5 h)</v>
      </c>
    </row>
    <row r="815" customFormat="false" ht="15" hidden="false" customHeight="false" outlineLevel="0" collapsed="false">
      <c r="A815" s="17" t="n">
        <v>1814</v>
      </c>
      <c r="B815" s="17" t="n">
        <v>8</v>
      </c>
      <c r="C815" s="17" t="n">
        <v>7</v>
      </c>
      <c r="D815" s="17" t="n">
        <v>2021</v>
      </c>
      <c r="E815" s="18" t="n">
        <v>0.544189814814815</v>
      </c>
      <c r="F815" s="17" t="n">
        <v>3763</v>
      </c>
      <c r="G815" s="17" t="s">
        <v>91</v>
      </c>
      <c r="H815" s="17" t="s">
        <v>92</v>
      </c>
      <c r="I815" s="17" t="s">
        <v>93</v>
      </c>
      <c r="J815" s="17" t="s">
        <v>94</v>
      </c>
      <c r="K815" s="17" t="n">
        <v>47</v>
      </c>
      <c r="L815" s="17" t="s">
        <v>61</v>
      </c>
      <c r="M815" s="17" t="s">
        <v>32</v>
      </c>
      <c r="N815" s="19" t="n">
        <v>4.12</v>
      </c>
      <c r="O815" s="19" t="n">
        <v>193.64</v>
      </c>
      <c r="P815" s="17" t="s">
        <v>33</v>
      </c>
      <c r="Q815" s="20" t="n">
        <f aca="false">DATE(D815,C815,B815)</f>
        <v>44385</v>
      </c>
      <c r="R815" s="17" t="str">
        <f aca="false">IF(HOUR(E815)&lt;6,"Madrugada (0-5 h)",IF(HOUR(E815)&lt;12,"Mañana (6-11 h)",IF(HOUR(E815)&lt;18,"Tarde (12-17 h)","Noche (18-23 h)")))</f>
        <v>Tarde (12-17 h)</v>
      </c>
    </row>
    <row r="816" customFormat="false" ht="15" hidden="false" customHeight="false" outlineLevel="0" collapsed="false">
      <c r="A816" s="17" t="n">
        <v>1815</v>
      </c>
      <c r="B816" s="17" t="n">
        <v>27</v>
      </c>
      <c r="C816" s="17" t="n">
        <v>11</v>
      </c>
      <c r="D816" s="17" t="n">
        <v>2022</v>
      </c>
      <c r="E816" s="18" t="n">
        <v>0.00730324074074074</v>
      </c>
      <c r="F816" s="17" t="n">
        <v>1625</v>
      </c>
      <c r="G816" s="17" t="s">
        <v>95</v>
      </c>
      <c r="H816" s="17" t="s">
        <v>96</v>
      </c>
      <c r="I816" s="17" t="s">
        <v>97</v>
      </c>
      <c r="J816" s="17" t="s">
        <v>97</v>
      </c>
      <c r="K816" s="17" t="n">
        <v>24</v>
      </c>
      <c r="L816" s="17" t="s">
        <v>98</v>
      </c>
      <c r="M816" s="17" t="s">
        <v>48</v>
      </c>
      <c r="N816" s="19" t="n">
        <v>4.33</v>
      </c>
      <c r="O816" s="19" t="n">
        <v>103.92</v>
      </c>
      <c r="P816" s="17" t="s">
        <v>33</v>
      </c>
      <c r="Q816" s="20" t="n">
        <f aca="false">DATE(D816,C816,B816)</f>
        <v>44892</v>
      </c>
      <c r="R816" s="17" t="str">
        <f aca="false">IF(HOUR(E816)&lt;6,"Madrugada (0-5 h)",IF(HOUR(E816)&lt;12,"Mañana (6-11 h)",IF(HOUR(E816)&lt;18,"Tarde (12-17 h)","Noche (18-23 h)")))</f>
        <v>Madrugada (0-5 h)</v>
      </c>
    </row>
    <row r="817" customFormat="false" ht="15" hidden="false" customHeight="false" outlineLevel="0" collapsed="false">
      <c r="A817" s="17" t="n">
        <v>1816</v>
      </c>
      <c r="B817" s="17" t="n">
        <v>28</v>
      </c>
      <c r="C817" s="17" t="n">
        <v>6</v>
      </c>
      <c r="D817" s="17" t="n">
        <v>2021</v>
      </c>
      <c r="E817" s="18" t="n">
        <v>0.266875</v>
      </c>
      <c r="F817" s="17" t="n">
        <v>4272</v>
      </c>
      <c r="G817" s="17" t="s">
        <v>99</v>
      </c>
      <c r="H817" s="17" t="s">
        <v>100</v>
      </c>
      <c r="I817" s="17" t="s">
        <v>101</v>
      </c>
      <c r="J817" s="17" t="s">
        <v>102</v>
      </c>
      <c r="K817" s="17" t="n">
        <v>37</v>
      </c>
      <c r="L817" s="17" t="s">
        <v>103</v>
      </c>
      <c r="M817" s="17" t="s">
        <v>32</v>
      </c>
      <c r="N817" s="19" t="n">
        <v>6.97</v>
      </c>
      <c r="O817" s="19" t="n">
        <v>257.89</v>
      </c>
      <c r="P817" s="17" t="s">
        <v>43</v>
      </c>
      <c r="Q817" s="20" t="n">
        <f aca="false">DATE(D817,C817,B817)</f>
        <v>44375</v>
      </c>
      <c r="R817" s="17" t="str">
        <f aca="false">IF(HOUR(E817)&lt;6,"Madrugada (0-5 h)",IF(HOUR(E817)&lt;12,"Mañana (6-11 h)",IF(HOUR(E817)&lt;18,"Tarde (12-17 h)","Noche (18-23 h)")))</f>
        <v>Mañana (6-11 h)</v>
      </c>
    </row>
    <row r="818" customFormat="false" ht="15" hidden="false" customHeight="false" outlineLevel="0" collapsed="false">
      <c r="A818" s="17" t="n">
        <v>1817</v>
      </c>
      <c r="B818" s="17" t="n">
        <v>13</v>
      </c>
      <c r="C818" s="17" t="n">
        <v>6</v>
      </c>
      <c r="D818" s="17" t="n">
        <v>2021</v>
      </c>
      <c r="E818" s="18" t="n">
        <v>0.294571759259259</v>
      </c>
      <c r="F818" s="17" t="n">
        <v>3600</v>
      </c>
      <c r="G818" s="17" t="s">
        <v>104</v>
      </c>
      <c r="H818" s="17" t="s">
        <v>105</v>
      </c>
      <c r="I818" s="17" t="s">
        <v>106</v>
      </c>
      <c r="J818" s="17" t="s">
        <v>107</v>
      </c>
      <c r="K818" s="17" t="n">
        <v>50</v>
      </c>
      <c r="L818" s="17" t="s">
        <v>31</v>
      </c>
      <c r="M818" s="17" t="s">
        <v>32</v>
      </c>
      <c r="N818" s="19" t="n">
        <v>4.45</v>
      </c>
      <c r="O818" s="19" t="n">
        <v>222.5</v>
      </c>
      <c r="P818" s="17" t="s">
        <v>33</v>
      </c>
      <c r="Q818" s="20" t="n">
        <f aca="false">DATE(D818,C818,B818)</f>
        <v>44360</v>
      </c>
      <c r="R818" s="17" t="str">
        <f aca="false">IF(HOUR(E818)&lt;6,"Madrugada (0-5 h)",IF(HOUR(E818)&lt;12,"Mañana (6-11 h)",IF(HOUR(E818)&lt;18,"Tarde (12-17 h)","Noche (18-23 h)")))</f>
        <v>Mañana (6-11 h)</v>
      </c>
    </row>
    <row r="819" customFormat="false" ht="15" hidden="false" customHeight="false" outlineLevel="0" collapsed="false">
      <c r="A819" s="17" t="n">
        <v>1818</v>
      </c>
      <c r="B819" s="17" t="n">
        <v>3</v>
      </c>
      <c r="C819" s="17" t="n">
        <v>12</v>
      </c>
      <c r="D819" s="17" t="n">
        <v>2021</v>
      </c>
      <c r="E819" s="18" t="n">
        <v>0.307905092592593</v>
      </c>
      <c r="F819" s="17" t="n">
        <v>1998</v>
      </c>
      <c r="G819" s="17" t="s">
        <v>108</v>
      </c>
      <c r="H819" s="17" t="s">
        <v>109</v>
      </c>
      <c r="I819" s="17" t="s">
        <v>110</v>
      </c>
      <c r="J819" s="17" t="s">
        <v>111</v>
      </c>
      <c r="K819" s="17" t="n">
        <v>38</v>
      </c>
      <c r="L819" s="17" t="s">
        <v>81</v>
      </c>
      <c r="M819" s="17" t="s">
        <v>82</v>
      </c>
      <c r="N819" s="19" t="n">
        <v>6.5</v>
      </c>
      <c r="O819" s="19" t="n">
        <v>247</v>
      </c>
      <c r="P819" s="17" t="s">
        <v>43</v>
      </c>
      <c r="Q819" s="20" t="n">
        <f aca="false">DATE(D819,C819,B819)</f>
        <v>44533</v>
      </c>
      <c r="R819" s="17" t="str">
        <f aca="false">IF(HOUR(E819)&lt;6,"Madrugada (0-5 h)",IF(HOUR(E819)&lt;12,"Mañana (6-11 h)",IF(HOUR(E819)&lt;18,"Tarde (12-17 h)","Noche (18-23 h)")))</f>
        <v>Mañana (6-11 h)</v>
      </c>
    </row>
    <row r="820" customFormat="false" ht="15" hidden="false" customHeight="false" outlineLevel="0" collapsed="false">
      <c r="A820" s="17" t="n">
        <v>1819</v>
      </c>
      <c r="B820" s="17" t="n">
        <v>2</v>
      </c>
      <c r="C820" s="17" t="n">
        <v>11</v>
      </c>
      <c r="D820" s="17" t="n">
        <v>2022</v>
      </c>
      <c r="E820" s="18" t="n">
        <v>0.0263194444444444</v>
      </c>
      <c r="F820" s="17" t="n">
        <v>1462</v>
      </c>
      <c r="G820" s="17" t="s">
        <v>112</v>
      </c>
      <c r="H820" s="17" t="s">
        <v>113</v>
      </c>
      <c r="I820" s="17" t="s">
        <v>114</v>
      </c>
      <c r="J820" s="17" t="s">
        <v>115</v>
      </c>
      <c r="K820" s="17" t="n">
        <v>39</v>
      </c>
      <c r="L820" s="17" t="s">
        <v>81</v>
      </c>
      <c r="M820" s="17" t="s">
        <v>116</v>
      </c>
      <c r="N820" s="19" t="n">
        <v>4.86</v>
      </c>
      <c r="O820" s="19" t="n">
        <v>189.54</v>
      </c>
      <c r="P820" s="17" t="s">
        <v>33</v>
      </c>
      <c r="Q820" s="20" t="n">
        <f aca="false">DATE(D820,C820,B820)</f>
        <v>44867</v>
      </c>
      <c r="R820" s="17" t="str">
        <f aca="false">IF(HOUR(E820)&lt;6,"Madrugada (0-5 h)",IF(HOUR(E820)&lt;12,"Mañana (6-11 h)",IF(HOUR(E820)&lt;18,"Tarde (12-17 h)","Noche (18-23 h)")))</f>
        <v>Madrugada (0-5 h)</v>
      </c>
    </row>
    <row r="821" customFormat="false" ht="15" hidden="false" customHeight="false" outlineLevel="0" collapsed="false">
      <c r="A821" s="17" t="n">
        <v>1820</v>
      </c>
      <c r="B821" s="17" t="n">
        <v>24</v>
      </c>
      <c r="C821" s="17" t="n">
        <v>4</v>
      </c>
      <c r="D821" s="17" t="n">
        <v>2022</v>
      </c>
      <c r="E821" s="18" t="n">
        <v>0.495983796296296</v>
      </c>
      <c r="F821" s="17" t="n">
        <v>2202</v>
      </c>
      <c r="G821" s="17" t="s">
        <v>117</v>
      </c>
      <c r="H821" s="17" t="s">
        <v>118</v>
      </c>
      <c r="I821" s="17" t="s">
        <v>119</v>
      </c>
      <c r="J821" s="17" t="s">
        <v>115</v>
      </c>
      <c r="K821" s="17" t="n">
        <v>35</v>
      </c>
      <c r="L821" s="17" t="s">
        <v>81</v>
      </c>
      <c r="M821" s="17" t="s">
        <v>120</v>
      </c>
      <c r="N821" s="19" t="n">
        <v>3.54</v>
      </c>
      <c r="O821" s="19" t="n">
        <v>123.9</v>
      </c>
      <c r="P821" s="17" t="s">
        <v>33</v>
      </c>
      <c r="Q821" s="20" t="n">
        <f aca="false">DATE(D821,C821,B821)</f>
        <v>44675</v>
      </c>
      <c r="R821" s="17" t="str">
        <f aca="false">IF(HOUR(E821)&lt;6,"Madrugada (0-5 h)",IF(HOUR(E821)&lt;12,"Mañana (6-11 h)",IF(HOUR(E821)&lt;18,"Tarde (12-17 h)","Noche (18-23 h)")))</f>
        <v>Mañana (6-11 h)</v>
      </c>
    </row>
    <row r="822" customFormat="false" ht="15" hidden="false" customHeight="false" outlineLevel="0" collapsed="false">
      <c r="A822" s="17" t="n">
        <v>1821</v>
      </c>
      <c r="B822" s="17" t="n">
        <v>6</v>
      </c>
      <c r="C822" s="17" t="n">
        <v>9</v>
      </c>
      <c r="D822" s="17" t="n">
        <v>2021</v>
      </c>
      <c r="E822" s="18" t="n">
        <v>0.313576388888889</v>
      </c>
      <c r="F822" s="17" t="n">
        <v>2234</v>
      </c>
      <c r="G822" s="17" t="s">
        <v>121</v>
      </c>
      <c r="H822" s="17" t="s">
        <v>122</v>
      </c>
      <c r="I822" s="17" t="s">
        <v>123</v>
      </c>
      <c r="J822" s="17" t="s">
        <v>124</v>
      </c>
      <c r="K822" s="17" t="n">
        <v>39</v>
      </c>
      <c r="L822" s="17" t="s">
        <v>125</v>
      </c>
      <c r="M822" s="17" t="s">
        <v>76</v>
      </c>
      <c r="N822" s="19" t="n">
        <v>7</v>
      </c>
      <c r="O822" s="19" t="n">
        <v>273</v>
      </c>
      <c r="P822" s="17" t="s">
        <v>33</v>
      </c>
      <c r="Q822" s="20" t="n">
        <f aca="false">DATE(D822,C822,B822)</f>
        <v>44445</v>
      </c>
      <c r="R822" s="17" t="str">
        <f aca="false">IF(HOUR(E822)&lt;6,"Madrugada (0-5 h)",IF(HOUR(E822)&lt;12,"Mañana (6-11 h)",IF(HOUR(E822)&lt;18,"Tarde (12-17 h)","Noche (18-23 h)")))</f>
        <v>Mañana (6-11 h)</v>
      </c>
    </row>
    <row r="823" customFormat="false" ht="15" hidden="false" customHeight="false" outlineLevel="0" collapsed="false">
      <c r="A823" s="17" t="n">
        <v>1822</v>
      </c>
      <c r="B823" s="17" t="n">
        <v>7</v>
      </c>
      <c r="C823" s="17" t="n">
        <v>3</v>
      </c>
      <c r="D823" s="17" t="n">
        <v>2022</v>
      </c>
      <c r="E823" s="18" t="n">
        <v>0.285520833333333</v>
      </c>
      <c r="F823" s="17" t="n">
        <v>1007</v>
      </c>
      <c r="G823" s="17" t="s">
        <v>126</v>
      </c>
      <c r="H823" s="17" t="s">
        <v>127</v>
      </c>
      <c r="I823" s="17" t="s">
        <v>128</v>
      </c>
      <c r="J823" s="17" t="s">
        <v>129</v>
      </c>
      <c r="K823" s="17" t="n">
        <v>29</v>
      </c>
      <c r="L823" s="17" t="s">
        <v>98</v>
      </c>
      <c r="M823" s="17" t="s">
        <v>62</v>
      </c>
      <c r="N823" s="19" t="n">
        <v>3.05</v>
      </c>
      <c r="O823" s="19" t="n">
        <v>88.45</v>
      </c>
      <c r="P823" s="17" t="s">
        <v>33</v>
      </c>
      <c r="Q823" s="20" t="n">
        <f aca="false">DATE(D823,C823,B823)</f>
        <v>44627</v>
      </c>
      <c r="R823" s="17" t="str">
        <f aca="false">IF(HOUR(E823)&lt;6,"Madrugada (0-5 h)",IF(HOUR(E823)&lt;12,"Mañana (6-11 h)",IF(HOUR(E823)&lt;18,"Tarde (12-17 h)","Noche (18-23 h)")))</f>
        <v>Mañana (6-11 h)</v>
      </c>
    </row>
    <row r="824" customFormat="false" ht="15" hidden="false" customHeight="false" outlineLevel="0" collapsed="false">
      <c r="A824" s="17" t="n">
        <v>1823</v>
      </c>
      <c r="B824" s="17" t="n">
        <v>11</v>
      </c>
      <c r="C824" s="17" t="n">
        <v>1</v>
      </c>
      <c r="D824" s="17" t="n">
        <v>2021</v>
      </c>
      <c r="E824" s="18" t="n">
        <v>0.25587962962963</v>
      </c>
      <c r="F824" s="17" t="n">
        <v>3274</v>
      </c>
      <c r="G824" s="17" t="s">
        <v>130</v>
      </c>
      <c r="H824" s="17" t="s">
        <v>131</v>
      </c>
      <c r="I824" s="17" t="s">
        <v>132</v>
      </c>
      <c r="J824" s="17" t="s">
        <v>129</v>
      </c>
      <c r="K824" s="17" t="n">
        <v>50</v>
      </c>
      <c r="L824" s="17" t="s">
        <v>98</v>
      </c>
      <c r="M824" s="17" t="s">
        <v>62</v>
      </c>
      <c r="N824" s="19" t="n">
        <v>4.57</v>
      </c>
      <c r="O824" s="19" t="n">
        <v>228.5</v>
      </c>
      <c r="P824" s="17" t="s">
        <v>33</v>
      </c>
      <c r="Q824" s="20" t="n">
        <f aca="false">DATE(D824,C824,B824)</f>
        <v>44207</v>
      </c>
      <c r="R824" s="17" t="str">
        <f aca="false">IF(HOUR(E824)&lt;6,"Madrugada (0-5 h)",IF(HOUR(E824)&lt;12,"Mañana (6-11 h)",IF(HOUR(E824)&lt;18,"Tarde (12-17 h)","Noche (18-23 h)")))</f>
        <v>Mañana (6-11 h)</v>
      </c>
    </row>
    <row r="825" customFormat="false" ht="15" hidden="false" customHeight="false" outlineLevel="0" collapsed="false">
      <c r="A825" s="17" t="n">
        <v>1824</v>
      </c>
      <c r="B825" s="17" t="n">
        <v>19</v>
      </c>
      <c r="C825" s="17" t="n">
        <v>10</v>
      </c>
      <c r="D825" s="17" t="n">
        <v>2021</v>
      </c>
      <c r="E825" s="18" t="n">
        <v>0.936678240740741</v>
      </c>
      <c r="F825" s="17" t="n">
        <v>3507</v>
      </c>
      <c r="G825" s="17" t="s">
        <v>133</v>
      </c>
      <c r="H825" s="17" t="s">
        <v>134</v>
      </c>
      <c r="I825" s="17" t="s">
        <v>135</v>
      </c>
      <c r="J825" s="17" t="s">
        <v>136</v>
      </c>
      <c r="K825" s="17" t="n">
        <v>47</v>
      </c>
      <c r="L825" s="17" t="s">
        <v>81</v>
      </c>
      <c r="M825" s="17" t="s">
        <v>76</v>
      </c>
      <c r="N825" s="19" t="n">
        <v>9.89</v>
      </c>
      <c r="O825" s="19" t="n">
        <v>464.83</v>
      </c>
      <c r="P825" s="17" t="s">
        <v>33</v>
      </c>
      <c r="Q825" s="20" t="n">
        <f aca="false">DATE(D825,C825,B825)</f>
        <v>44488</v>
      </c>
      <c r="R825" s="17" t="str">
        <f aca="false">IF(HOUR(E825)&lt;6,"Madrugada (0-5 h)",IF(HOUR(E825)&lt;12,"Mañana (6-11 h)",IF(HOUR(E825)&lt;18,"Tarde (12-17 h)","Noche (18-23 h)")))</f>
        <v>Noche (18-23 h)</v>
      </c>
    </row>
    <row r="826" customFormat="false" ht="15" hidden="false" customHeight="false" outlineLevel="0" collapsed="false">
      <c r="A826" s="17" t="n">
        <v>1825</v>
      </c>
      <c r="B826" s="17" t="n">
        <v>21</v>
      </c>
      <c r="C826" s="17" t="n">
        <v>4</v>
      </c>
      <c r="D826" s="17" t="n">
        <v>2022</v>
      </c>
      <c r="E826" s="18" t="n">
        <v>0.0150578703703704</v>
      </c>
      <c r="F826" s="17" t="n">
        <v>1425</v>
      </c>
      <c r="G826" s="17" t="s">
        <v>137</v>
      </c>
      <c r="H826" s="21" t="s">
        <v>476</v>
      </c>
      <c r="I826" s="17" t="s">
        <v>139</v>
      </c>
      <c r="J826" s="17" t="s">
        <v>140</v>
      </c>
      <c r="K826" s="17" t="n">
        <v>24</v>
      </c>
      <c r="L826" s="17" t="s">
        <v>31</v>
      </c>
      <c r="M826" s="17" t="s">
        <v>32</v>
      </c>
      <c r="N826" s="19" t="n">
        <v>3.44</v>
      </c>
      <c r="O826" s="19" t="n">
        <v>82.56</v>
      </c>
      <c r="P826" s="17" t="s">
        <v>43</v>
      </c>
      <c r="Q826" s="20" t="n">
        <f aca="false">DATE(D826,C826,B826)</f>
        <v>44672</v>
      </c>
      <c r="R826" s="17" t="str">
        <f aca="false">IF(HOUR(E826)&lt;6,"Madrugada (0-5 h)",IF(HOUR(E826)&lt;12,"Mañana (6-11 h)",IF(HOUR(E826)&lt;18,"Tarde (12-17 h)","Noche (18-23 h)")))</f>
        <v>Madrugada (0-5 h)</v>
      </c>
    </row>
    <row r="827" customFormat="false" ht="15" hidden="false" customHeight="false" outlineLevel="0" collapsed="false">
      <c r="A827" s="17" t="n">
        <v>1826</v>
      </c>
      <c r="B827" s="17" t="n">
        <v>11</v>
      </c>
      <c r="C827" s="17" t="n">
        <v>4</v>
      </c>
      <c r="D827" s="17" t="n">
        <v>2021</v>
      </c>
      <c r="E827" s="18" t="n">
        <v>0.51556712962963</v>
      </c>
      <c r="F827" s="17" t="n">
        <v>2535</v>
      </c>
      <c r="G827" s="17" t="s">
        <v>141</v>
      </c>
      <c r="H827" s="17" t="s">
        <v>142</v>
      </c>
      <c r="I827" s="17" t="s">
        <v>143</v>
      </c>
      <c r="J827" s="17" t="s">
        <v>144</v>
      </c>
      <c r="K827" s="17" t="n">
        <v>40</v>
      </c>
      <c r="L827" s="17" t="s">
        <v>42</v>
      </c>
      <c r="M827" s="17" t="s">
        <v>48</v>
      </c>
      <c r="N827" s="19" t="n">
        <v>8.88</v>
      </c>
      <c r="O827" s="19" t="n">
        <v>355.2</v>
      </c>
      <c r="P827" s="17" t="s">
        <v>33</v>
      </c>
      <c r="Q827" s="20" t="n">
        <f aca="false">DATE(D827,C827,B827)</f>
        <v>44297</v>
      </c>
      <c r="R827" s="17" t="str">
        <f aca="false">IF(HOUR(E827)&lt;6,"Madrugada (0-5 h)",IF(HOUR(E827)&lt;12,"Mañana (6-11 h)",IF(HOUR(E827)&lt;18,"Tarde (12-17 h)","Noche (18-23 h)")))</f>
        <v>Tarde (12-17 h)</v>
      </c>
    </row>
    <row r="828" customFormat="false" ht="15" hidden="false" customHeight="false" outlineLevel="0" collapsed="false">
      <c r="A828" s="17" t="n">
        <v>1827</v>
      </c>
      <c r="B828" s="17" t="n">
        <v>2</v>
      </c>
      <c r="C828" s="17" t="n">
        <v>4</v>
      </c>
      <c r="D828" s="17" t="n">
        <v>2021</v>
      </c>
      <c r="E828" s="18" t="n">
        <v>0.306898148148148</v>
      </c>
      <c r="F828" s="17" t="n">
        <v>4665</v>
      </c>
      <c r="G828" s="17" t="s">
        <v>145</v>
      </c>
      <c r="H828" s="17" t="s">
        <v>146</v>
      </c>
      <c r="I828" s="17" t="s">
        <v>147</v>
      </c>
      <c r="J828" s="17" t="s">
        <v>148</v>
      </c>
      <c r="K828" s="17" t="n">
        <v>39</v>
      </c>
      <c r="L828" s="17" t="s">
        <v>42</v>
      </c>
      <c r="M828" s="17" t="s">
        <v>48</v>
      </c>
      <c r="N828" s="19" t="n">
        <v>15.87</v>
      </c>
      <c r="O828" s="19" t="n">
        <v>618.93</v>
      </c>
      <c r="P828" s="17" t="s">
        <v>33</v>
      </c>
      <c r="Q828" s="20" t="n">
        <f aca="false">DATE(D828,C828,B828)</f>
        <v>44288</v>
      </c>
      <c r="R828" s="17" t="str">
        <f aca="false">IF(HOUR(E828)&lt;6,"Madrugada (0-5 h)",IF(HOUR(E828)&lt;12,"Mañana (6-11 h)",IF(HOUR(E828)&lt;18,"Tarde (12-17 h)","Noche (18-23 h)")))</f>
        <v>Mañana (6-11 h)</v>
      </c>
    </row>
    <row r="829" customFormat="false" ht="15" hidden="false" customHeight="false" outlineLevel="0" collapsed="false">
      <c r="A829" s="17" t="n">
        <v>1828</v>
      </c>
      <c r="B829" s="17" t="n">
        <v>5</v>
      </c>
      <c r="C829" s="17" t="n">
        <v>4</v>
      </c>
      <c r="D829" s="17" t="n">
        <v>2022</v>
      </c>
      <c r="E829" s="18" t="n">
        <v>0.329178240740741</v>
      </c>
      <c r="F829" s="17" t="n">
        <v>3301</v>
      </c>
      <c r="G829" s="17" t="s">
        <v>149</v>
      </c>
      <c r="H829" s="17" t="s">
        <v>150</v>
      </c>
      <c r="I829" s="17" t="s">
        <v>151</v>
      </c>
      <c r="J829" s="17" t="s">
        <v>152</v>
      </c>
      <c r="K829" s="17" t="n">
        <v>19</v>
      </c>
      <c r="L829" s="17" t="s">
        <v>42</v>
      </c>
      <c r="M829" s="17" t="s">
        <v>32</v>
      </c>
      <c r="N829" s="19" t="n">
        <v>13.04</v>
      </c>
      <c r="O829" s="19" t="n">
        <v>247.76</v>
      </c>
      <c r="P829" s="17" t="s">
        <v>33</v>
      </c>
      <c r="Q829" s="20" t="n">
        <f aca="false">DATE(D829,C829,B829)</f>
        <v>44656</v>
      </c>
      <c r="R829" s="17" t="str">
        <f aca="false">IF(HOUR(E829)&lt;6,"Madrugada (0-5 h)",IF(HOUR(E829)&lt;12,"Mañana (6-11 h)",IF(HOUR(E829)&lt;18,"Tarde (12-17 h)","Noche (18-23 h)")))</f>
        <v>Mañana (6-11 h)</v>
      </c>
    </row>
    <row r="830" customFormat="false" ht="15" hidden="false" customHeight="false" outlineLevel="0" collapsed="false">
      <c r="A830" s="17" t="n">
        <v>1829</v>
      </c>
      <c r="B830" s="17" t="n">
        <v>2</v>
      </c>
      <c r="C830" s="17" t="n">
        <v>2</v>
      </c>
      <c r="D830" s="17" t="n">
        <v>2021</v>
      </c>
      <c r="E830" s="18" t="n">
        <v>0.497222222222222</v>
      </c>
      <c r="F830" s="17" t="n">
        <v>4635</v>
      </c>
      <c r="G830" s="17" t="s">
        <v>153</v>
      </c>
      <c r="H830" s="17" t="s">
        <v>154</v>
      </c>
      <c r="I830" s="17" t="s">
        <v>155</v>
      </c>
      <c r="J830" s="17" t="s">
        <v>155</v>
      </c>
      <c r="K830" s="17" t="n">
        <v>16</v>
      </c>
      <c r="L830" s="17" t="s">
        <v>42</v>
      </c>
      <c r="M830" s="17" t="s">
        <v>32</v>
      </c>
      <c r="N830" s="19" t="n">
        <v>9.31</v>
      </c>
      <c r="O830" s="19" t="n">
        <v>148.96</v>
      </c>
      <c r="P830" s="17" t="s">
        <v>43</v>
      </c>
      <c r="Q830" s="20" t="n">
        <f aca="false">DATE(D830,C830,B830)</f>
        <v>44229</v>
      </c>
      <c r="R830" s="17" t="str">
        <f aca="false">IF(HOUR(E830)&lt;6,"Madrugada (0-5 h)",IF(HOUR(E830)&lt;12,"Mañana (6-11 h)",IF(HOUR(E830)&lt;18,"Tarde (12-17 h)","Noche (18-23 h)")))</f>
        <v>Mañana (6-11 h)</v>
      </c>
    </row>
    <row r="831" customFormat="false" ht="15" hidden="false" customHeight="false" outlineLevel="0" collapsed="false">
      <c r="A831" s="17" t="n">
        <v>1830</v>
      </c>
      <c r="B831" s="17" t="n">
        <v>27</v>
      </c>
      <c r="C831" s="17" t="n">
        <v>12</v>
      </c>
      <c r="D831" s="17" t="n">
        <v>2022</v>
      </c>
      <c r="E831" s="18" t="n">
        <v>0.632465277777778</v>
      </c>
      <c r="F831" s="17" t="n">
        <v>1398</v>
      </c>
      <c r="G831" s="17" t="s">
        <v>156</v>
      </c>
      <c r="H831" s="17" t="s">
        <v>157</v>
      </c>
      <c r="I831" s="17" t="s">
        <v>158</v>
      </c>
      <c r="J831" s="17" t="s">
        <v>159</v>
      </c>
      <c r="K831" s="17" t="n">
        <v>6</v>
      </c>
      <c r="L831" s="17" t="s">
        <v>125</v>
      </c>
      <c r="M831" s="17" t="s">
        <v>82</v>
      </c>
      <c r="N831" s="19" t="n">
        <v>8.51</v>
      </c>
      <c r="O831" s="19" t="n">
        <v>51.06</v>
      </c>
      <c r="P831" s="17" t="s">
        <v>33</v>
      </c>
      <c r="Q831" s="20" t="n">
        <f aca="false">DATE(D831,C831,B831)</f>
        <v>44922</v>
      </c>
      <c r="R831" s="17" t="str">
        <f aca="false">IF(HOUR(E831)&lt;6,"Madrugada (0-5 h)",IF(HOUR(E831)&lt;12,"Mañana (6-11 h)",IF(HOUR(E831)&lt;18,"Tarde (12-17 h)","Noche (18-23 h)")))</f>
        <v>Tarde (12-17 h)</v>
      </c>
    </row>
    <row r="832" customFormat="false" ht="15" hidden="false" customHeight="false" outlineLevel="0" collapsed="false">
      <c r="A832" s="17" t="n">
        <v>1831</v>
      </c>
      <c r="B832" s="17" t="n">
        <v>15</v>
      </c>
      <c r="C832" s="17" t="n">
        <v>10</v>
      </c>
      <c r="D832" s="17" t="n">
        <v>2021</v>
      </c>
      <c r="E832" s="18" t="n">
        <v>0.382962962962963</v>
      </c>
      <c r="F832" s="17" t="n">
        <v>2636</v>
      </c>
      <c r="G832" s="17" t="s">
        <v>160</v>
      </c>
      <c r="H832" s="17" t="s">
        <v>161</v>
      </c>
      <c r="I832" s="17" t="s">
        <v>162</v>
      </c>
      <c r="J832" s="17" t="s">
        <v>163</v>
      </c>
      <c r="K832" s="17" t="n">
        <v>33</v>
      </c>
      <c r="L832" s="17" t="s">
        <v>42</v>
      </c>
      <c r="M832" s="17" t="s">
        <v>76</v>
      </c>
      <c r="N832" s="19" t="n">
        <v>15.63</v>
      </c>
      <c r="O832" s="19" t="n">
        <v>515.79</v>
      </c>
      <c r="P832" s="17" t="s">
        <v>33</v>
      </c>
      <c r="Q832" s="20" t="n">
        <f aca="false">DATE(D832,C832,B832)</f>
        <v>44484</v>
      </c>
      <c r="R832" s="17" t="str">
        <f aca="false">IF(HOUR(E832)&lt;6,"Madrugada (0-5 h)",IF(HOUR(E832)&lt;12,"Mañana (6-11 h)",IF(HOUR(E832)&lt;18,"Tarde (12-17 h)","Noche (18-23 h)")))</f>
        <v>Mañana (6-11 h)</v>
      </c>
    </row>
    <row r="833" customFormat="false" ht="15" hidden="false" customHeight="false" outlineLevel="0" collapsed="false">
      <c r="A833" s="17" t="n">
        <v>1832</v>
      </c>
      <c r="B833" s="17" t="n">
        <v>7</v>
      </c>
      <c r="C833" s="17" t="n">
        <v>10</v>
      </c>
      <c r="D833" s="17" t="n">
        <v>2021</v>
      </c>
      <c r="E833" s="18" t="n">
        <v>0.248668981481482</v>
      </c>
      <c r="F833" s="17" t="n">
        <v>1556</v>
      </c>
      <c r="G833" s="17" t="s">
        <v>164</v>
      </c>
      <c r="H833" s="17" t="s">
        <v>165</v>
      </c>
      <c r="I833" s="17" t="s">
        <v>166</v>
      </c>
      <c r="J833" s="17" t="s">
        <v>167</v>
      </c>
      <c r="K833" s="17" t="n">
        <v>20</v>
      </c>
      <c r="L833" s="17" t="s">
        <v>81</v>
      </c>
      <c r="M833" s="17" t="s">
        <v>82</v>
      </c>
      <c r="N833" s="19" t="n">
        <v>6.99</v>
      </c>
      <c r="O833" s="19" t="n">
        <v>139.8</v>
      </c>
      <c r="P833" s="17" t="s">
        <v>33</v>
      </c>
      <c r="Q833" s="20" t="n">
        <f aca="false">DATE(D833,C833,B833)</f>
        <v>44476</v>
      </c>
      <c r="R833" s="17" t="str">
        <f aca="false">IF(HOUR(E833)&lt;6,"Madrugada (0-5 h)",IF(HOUR(E833)&lt;12,"Mañana (6-11 h)",IF(HOUR(E833)&lt;18,"Tarde (12-17 h)","Noche (18-23 h)")))</f>
        <v>Madrugada (0-5 h)</v>
      </c>
    </row>
    <row r="834" customFormat="false" ht="15" hidden="false" customHeight="false" outlineLevel="0" collapsed="false">
      <c r="A834" s="17" t="n">
        <v>1833</v>
      </c>
      <c r="B834" s="17" t="n">
        <v>21</v>
      </c>
      <c r="C834" s="17" t="n">
        <v>10</v>
      </c>
      <c r="D834" s="17" t="n">
        <v>2022</v>
      </c>
      <c r="E834" s="18" t="n">
        <v>0.32630787037037</v>
      </c>
      <c r="F834" s="17" t="n">
        <v>3526</v>
      </c>
      <c r="G834" s="17" t="s">
        <v>168</v>
      </c>
      <c r="H834" s="17" t="s">
        <v>169</v>
      </c>
      <c r="I834" s="17" t="s">
        <v>170</v>
      </c>
      <c r="J834" s="17" t="s">
        <v>171</v>
      </c>
      <c r="K834" s="17" t="n">
        <v>30</v>
      </c>
      <c r="L834" s="17" t="s">
        <v>31</v>
      </c>
      <c r="M834" s="17" t="s">
        <v>76</v>
      </c>
      <c r="N834" s="19" t="n">
        <v>6.84</v>
      </c>
      <c r="O834" s="19" t="n">
        <v>205.2</v>
      </c>
      <c r="P834" s="17" t="s">
        <v>33</v>
      </c>
      <c r="Q834" s="20" t="n">
        <f aca="false">DATE(D834,C834,B834)</f>
        <v>44855</v>
      </c>
      <c r="R834" s="17" t="str">
        <f aca="false">IF(HOUR(E834)&lt;6,"Madrugada (0-5 h)",IF(HOUR(E834)&lt;12,"Mañana (6-11 h)",IF(HOUR(E834)&lt;18,"Tarde (12-17 h)","Noche (18-23 h)")))</f>
        <v>Mañana (6-11 h)</v>
      </c>
    </row>
    <row r="835" customFormat="false" ht="15" hidden="false" customHeight="false" outlineLevel="0" collapsed="false">
      <c r="A835" s="17" t="n">
        <v>1834</v>
      </c>
      <c r="B835" s="17" t="n">
        <v>14</v>
      </c>
      <c r="C835" s="17" t="n">
        <v>7</v>
      </c>
      <c r="D835" s="17" t="n">
        <v>2022</v>
      </c>
      <c r="E835" s="18" t="n">
        <v>0.214710648148148</v>
      </c>
      <c r="F835" s="17" t="n">
        <v>4196</v>
      </c>
      <c r="G835" s="17" t="s">
        <v>172</v>
      </c>
      <c r="H835" s="17" t="s">
        <v>173</v>
      </c>
      <c r="I835" s="17" t="s">
        <v>174</v>
      </c>
      <c r="J835" s="17" t="s">
        <v>175</v>
      </c>
      <c r="K835" s="17" t="n">
        <v>7</v>
      </c>
      <c r="L835" s="17" t="s">
        <v>31</v>
      </c>
      <c r="M835" s="17" t="s">
        <v>76</v>
      </c>
      <c r="N835" s="19" t="n">
        <v>5.5</v>
      </c>
      <c r="O835" s="19" t="n">
        <v>38.5</v>
      </c>
      <c r="P835" s="17" t="s">
        <v>33</v>
      </c>
      <c r="Q835" s="20" t="n">
        <f aca="false">DATE(D835,C835,B835)</f>
        <v>44756</v>
      </c>
      <c r="R835" s="17" t="str">
        <f aca="false">IF(HOUR(E835)&lt;6,"Madrugada (0-5 h)",IF(HOUR(E835)&lt;12,"Mañana (6-11 h)",IF(HOUR(E835)&lt;18,"Tarde (12-17 h)","Noche (18-23 h)")))</f>
        <v>Madrugada (0-5 h)</v>
      </c>
    </row>
    <row r="836" customFormat="false" ht="15" hidden="false" customHeight="false" outlineLevel="0" collapsed="false">
      <c r="A836" s="17" t="n">
        <v>1835</v>
      </c>
      <c r="B836" s="17" t="n">
        <v>20</v>
      </c>
      <c r="C836" s="17" t="n">
        <v>12</v>
      </c>
      <c r="D836" s="17" t="n">
        <v>2022</v>
      </c>
      <c r="E836" s="18" t="n">
        <v>0.640810185185185</v>
      </c>
      <c r="F836" s="17" t="n">
        <v>4069</v>
      </c>
      <c r="G836" s="17" t="s">
        <v>176</v>
      </c>
      <c r="H836" s="17" t="s">
        <v>177</v>
      </c>
      <c r="I836" s="17" t="s">
        <v>178</v>
      </c>
      <c r="J836" s="17" t="s">
        <v>179</v>
      </c>
      <c r="K836" s="17" t="n">
        <v>5</v>
      </c>
      <c r="L836" s="17" t="s">
        <v>31</v>
      </c>
      <c r="M836" s="17" t="s">
        <v>76</v>
      </c>
      <c r="N836" s="19" t="n">
        <v>9.56</v>
      </c>
      <c r="O836" s="19" t="n">
        <v>47.8</v>
      </c>
      <c r="P836" s="17" t="s">
        <v>33</v>
      </c>
      <c r="Q836" s="20" t="n">
        <f aca="false">DATE(D836,C836,B836)</f>
        <v>44915</v>
      </c>
      <c r="R836" s="17" t="str">
        <f aca="false">IF(HOUR(E836)&lt;6,"Madrugada (0-5 h)",IF(HOUR(E836)&lt;12,"Mañana (6-11 h)",IF(HOUR(E836)&lt;18,"Tarde (12-17 h)","Noche (18-23 h)")))</f>
        <v>Tarde (12-17 h)</v>
      </c>
    </row>
    <row r="837" customFormat="false" ht="15" hidden="false" customHeight="false" outlineLevel="0" collapsed="false">
      <c r="A837" s="17" t="n">
        <v>1836</v>
      </c>
      <c r="B837" s="17" t="n">
        <v>25</v>
      </c>
      <c r="C837" s="17" t="n">
        <v>12</v>
      </c>
      <c r="D837" s="17" t="n">
        <v>2021</v>
      </c>
      <c r="E837" s="18" t="n">
        <v>0.942141203703704</v>
      </c>
      <c r="F837" s="17" t="n">
        <v>1448</v>
      </c>
      <c r="G837" s="17" t="s">
        <v>180</v>
      </c>
      <c r="H837" s="17" t="s">
        <v>181</v>
      </c>
      <c r="I837" s="17" t="s">
        <v>182</v>
      </c>
      <c r="J837" s="17" t="s">
        <v>183</v>
      </c>
      <c r="K837" s="17" t="n">
        <v>42</v>
      </c>
      <c r="L837" s="17" t="s">
        <v>31</v>
      </c>
      <c r="M837" s="17" t="s">
        <v>32</v>
      </c>
      <c r="N837" s="19" t="n">
        <v>3.43</v>
      </c>
      <c r="O837" s="19" t="n">
        <v>144.06</v>
      </c>
      <c r="P837" s="17" t="s">
        <v>33</v>
      </c>
      <c r="Q837" s="20" t="n">
        <f aca="false">DATE(D837,C837,B837)</f>
        <v>44555</v>
      </c>
      <c r="R837" s="17" t="str">
        <f aca="false">IF(HOUR(E837)&lt;6,"Madrugada (0-5 h)",IF(HOUR(E837)&lt;12,"Mañana (6-11 h)",IF(HOUR(E837)&lt;18,"Tarde (12-17 h)","Noche (18-23 h)")))</f>
        <v>Noche (18-23 h)</v>
      </c>
    </row>
    <row r="838" customFormat="false" ht="15" hidden="false" customHeight="false" outlineLevel="0" collapsed="false">
      <c r="A838" s="17" t="n">
        <v>1837</v>
      </c>
      <c r="B838" s="17" t="n">
        <v>18</v>
      </c>
      <c r="C838" s="17" t="n">
        <v>4</v>
      </c>
      <c r="D838" s="17" t="n">
        <v>2022</v>
      </c>
      <c r="E838" s="18" t="n">
        <v>0.72193287037037</v>
      </c>
      <c r="F838" s="17" t="n">
        <v>4838</v>
      </c>
      <c r="G838" s="17" t="s">
        <v>184</v>
      </c>
      <c r="H838" s="17" t="s">
        <v>185</v>
      </c>
      <c r="I838" s="17" t="s">
        <v>186</v>
      </c>
      <c r="J838" s="17" t="s">
        <v>187</v>
      </c>
      <c r="K838" s="17" t="n">
        <v>32</v>
      </c>
      <c r="L838" s="17" t="s">
        <v>81</v>
      </c>
      <c r="M838" s="17" t="s">
        <v>82</v>
      </c>
      <c r="N838" s="19" t="n">
        <v>1.23</v>
      </c>
      <c r="O838" s="19" t="n">
        <v>39.36</v>
      </c>
      <c r="P838" s="17" t="s">
        <v>33</v>
      </c>
      <c r="Q838" s="20" t="n">
        <f aca="false">DATE(D838,C838,B838)</f>
        <v>44669</v>
      </c>
      <c r="R838" s="17" t="str">
        <f aca="false">IF(HOUR(E838)&lt;6,"Madrugada (0-5 h)",IF(HOUR(E838)&lt;12,"Mañana (6-11 h)",IF(HOUR(E838)&lt;18,"Tarde (12-17 h)","Noche (18-23 h)")))</f>
        <v>Tarde (12-17 h)</v>
      </c>
    </row>
    <row r="839" customFormat="false" ht="15" hidden="false" customHeight="false" outlineLevel="0" collapsed="false">
      <c r="A839" s="17" t="n">
        <v>1838</v>
      </c>
      <c r="B839" s="17" t="n">
        <v>20</v>
      </c>
      <c r="C839" s="17" t="n">
        <v>8</v>
      </c>
      <c r="D839" s="17" t="n">
        <v>2021</v>
      </c>
      <c r="E839" s="18" t="n">
        <v>0.610405092592593</v>
      </c>
      <c r="F839" s="17" t="n">
        <v>1778</v>
      </c>
      <c r="G839" s="17" t="s">
        <v>188</v>
      </c>
      <c r="H839" s="17" t="s">
        <v>189</v>
      </c>
      <c r="I839" s="17" t="s">
        <v>190</v>
      </c>
      <c r="J839" s="17" t="s">
        <v>191</v>
      </c>
      <c r="K839" s="17" t="n">
        <v>47</v>
      </c>
      <c r="L839" s="17" t="s">
        <v>125</v>
      </c>
      <c r="M839" s="17" t="s">
        <v>76</v>
      </c>
      <c r="N839" s="19" t="n">
        <v>13.55</v>
      </c>
      <c r="O839" s="19" t="n">
        <v>636.85</v>
      </c>
      <c r="P839" s="17" t="s">
        <v>33</v>
      </c>
      <c r="Q839" s="20" t="n">
        <f aca="false">DATE(D839,C839,B839)</f>
        <v>44428</v>
      </c>
      <c r="R839" s="17" t="str">
        <f aca="false">IF(HOUR(E839)&lt;6,"Madrugada (0-5 h)",IF(HOUR(E839)&lt;12,"Mañana (6-11 h)",IF(HOUR(E839)&lt;18,"Tarde (12-17 h)","Noche (18-23 h)")))</f>
        <v>Tarde (12-17 h)</v>
      </c>
    </row>
    <row r="840" customFormat="false" ht="15" hidden="false" customHeight="false" outlineLevel="0" collapsed="false">
      <c r="A840" s="17" t="n">
        <v>1839</v>
      </c>
      <c r="B840" s="17" t="n">
        <v>27</v>
      </c>
      <c r="C840" s="17" t="n">
        <v>6</v>
      </c>
      <c r="D840" s="17" t="n">
        <v>2022</v>
      </c>
      <c r="E840" s="18" t="n">
        <v>0.312013888888889</v>
      </c>
      <c r="F840" s="17" t="n">
        <v>3395</v>
      </c>
      <c r="G840" s="17" t="s">
        <v>192</v>
      </c>
      <c r="H840" s="17" t="s">
        <v>193</v>
      </c>
      <c r="I840" s="17" t="s">
        <v>194</v>
      </c>
      <c r="J840" s="17" t="s">
        <v>195</v>
      </c>
      <c r="K840" s="17" t="n">
        <v>40</v>
      </c>
      <c r="L840" s="17" t="s">
        <v>31</v>
      </c>
      <c r="M840" s="17" t="s">
        <v>82</v>
      </c>
      <c r="N840" s="19" t="n">
        <v>6.78</v>
      </c>
      <c r="O840" s="19" t="n">
        <v>271.2</v>
      </c>
      <c r="P840" s="17" t="s">
        <v>33</v>
      </c>
      <c r="Q840" s="20" t="n">
        <f aca="false">DATE(D840,C840,B840)</f>
        <v>44739</v>
      </c>
      <c r="R840" s="17" t="str">
        <f aca="false">IF(HOUR(E840)&lt;6,"Madrugada (0-5 h)",IF(HOUR(E840)&lt;12,"Mañana (6-11 h)",IF(HOUR(E840)&lt;18,"Tarde (12-17 h)","Noche (18-23 h)")))</f>
        <v>Mañana (6-11 h)</v>
      </c>
    </row>
    <row r="841" customFormat="false" ht="15" hidden="false" customHeight="false" outlineLevel="0" collapsed="false">
      <c r="A841" s="17" t="n">
        <v>1840</v>
      </c>
      <c r="B841" s="17" t="n">
        <v>10</v>
      </c>
      <c r="C841" s="17" t="n">
        <v>7</v>
      </c>
      <c r="D841" s="17" t="n">
        <v>2021</v>
      </c>
      <c r="E841" s="18" t="n">
        <v>0.432986111111111</v>
      </c>
      <c r="F841" s="17" t="n">
        <v>1895</v>
      </c>
      <c r="G841" s="17" t="s">
        <v>196</v>
      </c>
      <c r="H841" s="17" t="s">
        <v>197</v>
      </c>
      <c r="I841" s="17" t="s">
        <v>198</v>
      </c>
      <c r="J841" s="17" t="s">
        <v>199</v>
      </c>
      <c r="K841" s="17" t="n">
        <v>1</v>
      </c>
      <c r="L841" s="17" t="s">
        <v>31</v>
      </c>
      <c r="M841" s="17" t="s">
        <v>32</v>
      </c>
      <c r="N841" s="19" t="n">
        <v>8.02</v>
      </c>
      <c r="O841" s="19" t="n">
        <v>8.02</v>
      </c>
      <c r="P841" s="17" t="s">
        <v>33</v>
      </c>
      <c r="Q841" s="20" t="n">
        <f aca="false">DATE(D841,C841,B841)</f>
        <v>44387</v>
      </c>
      <c r="R841" s="17" t="str">
        <f aca="false">IF(HOUR(E841)&lt;6,"Madrugada (0-5 h)",IF(HOUR(E841)&lt;12,"Mañana (6-11 h)",IF(HOUR(E841)&lt;18,"Tarde (12-17 h)","Noche (18-23 h)")))</f>
        <v>Mañana (6-11 h)</v>
      </c>
    </row>
    <row r="842" customFormat="false" ht="15" hidden="false" customHeight="false" outlineLevel="0" collapsed="false">
      <c r="A842" s="17" t="n">
        <v>1841</v>
      </c>
      <c r="B842" s="17" t="n">
        <v>18</v>
      </c>
      <c r="C842" s="17" t="n">
        <v>4</v>
      </c>
      <c r="D842" s="17" t="n">
        <v>2022</v>
      </c>
      <c r="E842" s="18" t="n">
        <v>0.782928240740741</v>
      </c>
      <c r="F842" s="17" t="n">
        <v>4995</v>
      </c>
      <c r="G842" s="17" t="s">
        <v>200</v>
      </c>
      <c r="H842" s="17" t="s">
        <v>201</v>
      </c>
      <c r="I842" s="17" t="s">
        <v>113</v>
      </c>
      <c r="J842" s="17" t="s">
        <v>202</v>
      </c>
      <c r="K842" s="17" t="n">
        <v>26</v>
      </c>
      <c r="L842" s="17" t="s">
        <v>31</v>
      </c>
      <c r="M842" s="17" t="s">
        <v>32</v>
      </c>
      <c r="N842" s="19" t="n">
        <v>7.76</v>
      </c>
      <c r="O842" s="19" t="n">
        <v>201.76</v>
      </c>
      <c r="P842" s="17" t="s">
        <v>33</v>
      </c>
      <c r="Q842" s="20" t="n">
        <f aca="false">DATE(D842,C842,B842)</f>
        <v>44669</v>
      </c>
      <c r="R842" s="17" t="str">
        <f aca="false">IF(HOUR(E842)&lt;6,"Madrugada (0-5 h)",IF(HOUR(E842)&lt;12,"Mañana (6-11 h)",IF(HOUR(E842)&lt;18,"Tarde (12-17 h)","Noche (18-23 h)")))</f>
        <v>Noche (18-23 h)</v>
      </c>
    </row>
    <row r="843" customFormat="false" ht="15" hidden="false" customHeight="false" outlineLevel="0" collapsed="false">
      <c r="A843" s="17" t="n">
        <v>1842</v>
      </c>
      <c r="B843" s="17" t="n">
        <v>20</v>
      </c>
      <c r="C843" s="17" t="n">
        <v>9</v>
      </c>
      <c r="D843" s="17" t="n">
        <v>2022</v>
      </c>
      <c r="E843" s="18" t="n">
        <v>0.85375</v>
      </c>
      <c r="F843" s="17" t="n">
        <v>4289</v>
      </c>
      <c r="G843" s="17" t="s">
        <v>203</v>
      </c>
      <c r="H843" s="17" t="s">
        <v>477</v>
      </c>
      <c r="I843" s="17" t="s">
        <v>205</v>
      </c>
      <c r="J843" s="17" t="s">
        <v>206</v>
      </c>
      <c r="K843" s="17" t="n">
        <v>32</v>
      </c>
      <c r="L843" s="17" t="s">
        <v>42</v>
      </c>
      <c r="M843" s="17" t="s">
        <v>32</v>
      </c>
      <c r="N843" s="19" t="n">
        <v>8.87</v>
      </c>
      <c r="O843" s="19" t="n">
        <v>283.84</v>
      </c>
      <c r="P843" s="17" t="s">
        <v>33</v>
      </c>
      <c r="Q843" s="20" t="n">
        <f aca="false">DATE(D843,C843,B843)</f>
        <v>44824</v>
      </c>
      <c r="R843" s="17" t="str">
        <f aca="false">IF(HOUR(E843)&lt;6,"Madrugada (0-5 h)",IF(HOUR(E843)&lt;12,"Mañana (6-11 h)",IF(HOUR(E843)&lt;18,"Tarde (12-17 h)","Noche (18-23 h)")))</f>
        <v>Noche (18-23 h)</v>
      </c>
    </row>
    <row r="844" customFormat="false" ht="15" hidden="false" customHeight="false" outlineLevel="0" collapsed="false">
      <c r="A844" s="17" t="n">
        <v>1843</v>
      </c>
      <c r="B844" s="17" t="n">
        <v>8</v>
      </c>
      <c r="C844" s="17" t="n">
        <v>11</v>
      </c>
      <c r="D844" s="17" t="n">
        <v>2022</v>
      </c>
      <c r="E844" s="18" t="n">
        <v>0.434143518518519</v>
      </c>
      <c r="F844" s="17" t="n">
        <v>3748</v>
      </c>
      <c r="G844" s="17" t="s">
        <v>207</v>
      </c>
      <c r="H844" s="17" t="s">
        <v>208</v>
      </c>
      <c r="I844" s="17" t="s">
        <v>209</v>
      </c>
      <c r="J844" s="17" t="s">
        <v>210</v>
      </c>
      <c r="K844" s="17" t="n">
        <v>24</v>
      </c>
      <c r="L844" s="17" t="s">
        <v>31</v>
      </c>
      <c r="M844" s="17" t="s">
        <v>32</v>
      </c>
      <c r="N844" s="19" t="n">
        <v>4.5</v>
      </c>
      <c r="O844" s="19" t="n">
        <v>108</v>
      </c>
      <c r="P844" s="17" t="s">
        <v>33</v>
      </c>
      <c r="Q844" s="20" t="n">
        <f aca="false">DATE(D844,C844,B844)</f>
        <v>44873</v>
      </c>
      <c r="R844" s="17" t="str">
        <f aca="false">IF(HOUR(E844)&lt;6,"Madrugada (0-5 h)",IF(HOUR(E844)&lt;12,"Mañana (6-11 h)",IF(HOUR(E844)&lt;18,"Tarde (12-17 h)","Noche (18-23 h)")))</f>
        <v>Mañana (6-11 h)</v>
      </c>
    </row>
    <row r="845" customFormat="false" ht="15" hidden="false" customHeight="false" outlineLevel="0" collapsed="false">
      <c r="A845" s="17" t="n">
        <v>1844</v>
      </c>
      <c r="B845" s="17" t="n">
        <v>1</v>
      </c>
      <c r="C845" s="17" t="n">
        <v>7</v>
      </c>
      <c r="D845" s="17" t="n">
        <v>2021</v>
      </c>
      <c r="E845" s="18" t="n">
        <v>0.960902777777778</v>
      </c>
      <c r="F845" s="17" t="n">
        <v>1840</v>
      </c>
      <c r="G845" s="17" t="s">
        <v>211</v>
      </c>
      <c r="H845" s="17" t="s">
        <v>212</v>
      </c>
      <c r="I845" s="17" t="s">
        <v>213</v>
      </c>
      <c r="J845" s="17" t="s">
        <v>214</v>
      </c>
      <c r="K845" s="17" t="n">
        <v>32</v>
      </c>
      <c r="L845" s="17" t="s">
        <v>31</v>
      </c>
      <c r="M845" s="17" t="s">
        <v>32</v>
      </c>
      <c r="N845" s="19" t="n">
        <v>8.98</v>
      </c>
      <c r="O845" s="19" t="n">
        <v>287.36</v>
      </c>
      <c r="P845" s="17" t="s">
        <v>33</v>
      </c>
      <c r="Q845" s="20" t="n">
        <f aca="false">DATE(D845,C845,B845)</f>
        <v>44378</v>
      </c>
      <c r="R845" s="17" t="str">
        <f aca="false">IF(HOUR(E845)&lt;6,"Madrugada (0-5 h)",IF(HOUR(E845)&lt;12,"Mañana (6-11 h)",IF(HOUR(E845)&lt;18,"Tarde (12-17 h)","Noche (18-23 h)")))</f>
        <v>Noche (18-23 h)</v>
      </c>
    </row>
    <row r="846" customFormat="false" ht="15" hidden="false" customHeight="false" outlineLevel="0" collapsed="false">
      <c r="A846" s="17" t="n">
        <v>1845</v>
      </c>
      <c r="B846" s="17" t="n">
        <v>20</v>
      </c>
      <c r="C846" s="17" t="n">
        <v>11</v>
      </c>
      <c r="D846" s="17" t="n">
        <v>2021</v>
      </c>
      <c r="E846" s="18" t="n">
        <v>0.296365740740741</v>
      </c>
      <c r="F846" s="17" t="n">
        <v>2715</v>
      </c>
      <c r="G846" s="17" t="s">
        <v>215</v>
      </c>
      <c r="H846" s="17" t="s">
        <v>197</v>
      </c>
      <c r="I846" s="17" t="s">
        <v>198</v>
      </c>
      <c r="J846" s="17" t="s">
        <v>199</v>
      </c>
      <c r="K846" s="17" t="n">
        <v>3</v>
      </c>
      <c r="L846" s="17" t="s">
        <v>31</v>
      </c>
      <c r="M846" s="17" t="s">
        <v>32</v>
      </c>
      <c r="N846" s="19" t="n">
        <v>5.87</v>
      </c>
      <c r="O846" s="19" t="n">
        <v>17.61</v>
      </c>
      <c r="P846" s="17" t="s">
        <v>33</v>
      </c>
      <c r="Q846" s="20" t="n">
        <f aca="false">DATE(D846,C846,B846)</f>
        <v>44520</v>
      </c>
      <c r="R846" s="17" t="str">
        <f aca="false">IF(HOUR(E846)&lt;6,"Madrugada (0-5 h)",IF(HOUR(E846)&lt;12,"Mañana (6-11 h)",IF(HOUR(E846)&lt;18,"Tarde (12-17 h)","Noche (18-23 h)")))</f>
        <v>Mañana (6-11 h)</v>
      </c>
    </row>
    <row r="847" customFormat="false" ht="15" hidden="false" customHeight="false" outlineLevel="0" collapsed="false">
      <c r="A847" s="17" t="n">
        <v>1846</v>
      </c>
      <c r="B847" s="17" t="n">
        <v>6</v>
      </c>
      <c r="C847" s="17" t="n">
        <v>10</v>
      </c>
      <c r="D847" s="17" t="n">
        <v>2022</v>
      </c>
      <c r="E847" s="18" t="n">
        <v>0.435115740740741</v>
      </c>
      <c r="F847" s="17" t="n">
        <v>4745</v>
      </c>
      <c r="G847" s="17" t="s">
        <v>216</v>
      </c>
      <c r="H847" s="17" t="s">
        <v>217</v>
      </c>
      <c r="I847" s="17" t="s">
        <v>218</v>
      </c>
      <c r="J847" s="17" t="s">
        <v>219</v>
      </c>
      <c r="K847" s="17" t="n">
        <v>36</v>
      </c>
      <c r="L847" s="17" t="s">
        <v>98</v>
      </c>
      <c r="M847" s="17" t="s">
        <v>62</v>
      </c>
      <c r="N847" s="19" t="n">
        <v>2.31</v>
      </c>
      <c r="O847" s="19" t="n">
        <v>83.16</v>
      </c>
      <c r="P847" s="17" t="s">
        <v>33</v>
      </c>
      <c r="Q847" s="20" t="n">
        <f aca="false">DATE(D847,C847,B847)</f>
        <v>44840</v>
      </c>
      <c r="R847" s="17" t="str">
        <f aca="false">IF(HOUR(E847)&lt;6,"Madrugada (0-5 h)",IF(HOUR(E847)&lt;12,"Mañana (6-11 h)",IF(HOUR(E847)&lt;18,"Tarde (12-17 h)","Noche (18-23 h)")))</f>
        <v>Mañana (6-11 h)</v>
      </c>
    </row>
    <row r="848" customFormat="false" ht="15" hidden="false" customHeight="false" outlineLevel="0" collapsed="false">
      <c r="A848" s="17" t="n">
        <v>1847</v>
      </c>
      <c r="B848" s="17" t="n">
        <v>28</v>
      </c>
      <c r="C848" s="17" t="n">
        <v>12</v>
      </c>
      <c r="D848" s="17" t="n">
        <v>2022</v>
      </c>
      <c r="E848" s="18" t="n">
        <v>0.408194444444445</v>
      </c>
      <c r="F848" s="17" t="n">
        <v>1960</v>
      </c>
      <c r="G848" s="17" t="s">
        <v>220</v>
      </c>
      <c r="H848" s="17" t="s">
        <v>221</v>
      </c>
      <c r="I848" s="17" t="s">
        <v>222</v>
      </c>
      <c r="J848" s="17" t="s">
        <v>223</v>
      </c>
      <c r="K848" s="17" t="n">
        <v>3</v>
      </c>
      <c r="L848" s="17" t="s">
        <v>31</v>
      </c>
      <c r="M848" s="17" t="s">
        <v>32</v>
      </c>
      <c r="N848" s="19" t="n">
        <v>6.53</v>
      </c>
      <c r="O848" s="19" t="n">
        <v>19.59</v>
      </c>
      <c r="P848" s="17" t="s">
        <v>33</v>
      </c>
      <c r="Q848" s="20" t="n">
        <f aca="false">DATE(D848,C848,B848)</f>
        <v>44923</v>
      </c>
      <c r="R848" s="17" t="str">
        <f aca="false">IF(HOUR(E848)&lt;6,"Madrugada (0-5 h)",IF(HOUR(E848)&lt;12,"Mañana (6-11 h)",IF(HOUR(E848)&lt;18,"Tarde (12-17 h)","Noche (18-23 h)")))</f>
        <v>Mañana (6-11 h)</v>
      </c>
    </row>
    <row r="849" customFormat="false" ht="15" hidden="false" customHeight="false" outlineLevel="0" collapsed="false">
      <c r="A849" s="17" t="n">
        <v>1848</v>
      </c>
      <c r="B849" s="17" t="n">
        <v>12</v>
      </c>
      <c r="C849" s="17" t="n">
        <v>12</v>
      </c>
      <c r="D849" s="17" t="n">
        <v>2022</v>
      </c>
      <c r="E849" s="18" t="n">
        <v>0.363240740740741</v>
      </c>
      <c r="F849" s="17" t="n">
        <v>2853</v>
      </c>
      <c r="G849" s="17" t="s">
        <v>224</v>
      </c>
      <c r="H849" s="17" t="s">
        <v>225</v>
      </c>
      <c r="I849" s="17" t="s">
        <v>222</v>
      </c>
      <c r="J849" s="17" t="s">
        <v>223</v>
      </c>
      <c r="K849" s="17" t="n">
        <v>4</v>
      </c>
      <c r="L849" s="17" t="s">
        <v>31</v>
      </c>
      <c r="M849" s="17" t="s">
        <v>32</v>
      </c>
      <c r="N849" s="19" t="n">
        <v>2.45</v>
      </c>
      <c r="O849" s="19" t="n">
        <v>9.8</v>
      </c>
      <c r="P849" s="17" t="s">
        <v>33</v>
      </c>
      <c r="Q849" s="20" t="n">
        <f aca="false">DATE(D849,C849,B849)</f>
        <v>44907</v>
      </c>
      <c r="R849" s="17" t="str">
        <f aca="false">IF(HOUR(E849)&lt;6,"Madrugada (0-5 h)",IF(HOUR(E849)&lt;12,"Mañana (6-11 h)",IF(HOUR(E849)&lt;18,"Tarde (12-17 h)","Noche (18-23 h)")))</f>
        <v>Mañana (6-11 h)</v>
      </c>
    </row>
    <row r="850" customFormat="false" ht="15" hidden="false" customHeight="false" outlineLevel="0" collapsed="false">
      <c r="A850" s="17" t="n">
        <v>1849</v>
      </c>
      <c r="B850" s="17" t="n">
        <v>25</v>
      </c>
      <c r="C850" s="17" t="n">
        <v>11</v>
      </c>
      <c r="D850" s="17" t="n">
        <v>2022</v>
      </c>
      <c r="E850" s="18" t="n">
        <v>0.384733796296296</v>
      </c>
      <c r="F850" s="17" t="n">
        <v>2684</v>
      </c>
      <c r="G850" s="17" t="s">
        <v>226</v>
      </c>
      <c r="H850" s="17" t="s">
        <v>227</v>
      </c>
      <c r="I850" s="17" t="s">
        <v>228</v>
      </c>
      <c r="J850" s="17" t="s">
        <v>229</v>
      </c>
      <c r="K850" s="17" t="n">
        <v>38</v>
      </c>
      <c r="L850" s="17" t="s">
        <v>125</v>
      </c>
      <c r="M850" s="17" t="s">
        <v>76</v>
      </c>
      <c r="N850" s="19" t="n">
        <v>3.03</v>
      </c>
      <c r="O850" s="19" t="n">
        <v>115.14</v>
      </c>
      <c r="P850" s="17" t="s">
        <v>33</v>
      </c>
      <c r="Q850" s="20" t="n">
        <f aca="false">DATE(D850,C850,B850)</f>
        <v>44890</v>
      </c>
      <c r="R850" s="17" t="str">
        <f aca="false">IF(HOUR(E850)&lt;6,"Madrugada (0-5 h)",IF(HOUR(E850)&lt;12,"Mañana (6-11 h)",IF(HOUR(E850)&lt;18,"Tarde (12-17 h)","Noche (18-23 h)")))</f>
        <v>Mañana (6-11 h)</v>
      </c>
    </row>
    <row r="851" customFormat="false" ht="15" hidden="false" customHeight="false" outlineLevel="0" collapsed="false">
      <c r="A851" s="17" t="n">
        <v>1850</v>
      </c>
      <c r="B851" s="17" t="n">
        <v>15</v>
      </c>
      <c r="C851" s="17" t="n">
        <v>7</v>
      </c>
      <c r="D851" s="17" t="n">
        <v>2022</v>
      </c>
      <c r="E851" s="18" t="n">
        <v>0.841886574074074</v>
      </c>
      <c r="F851" s="17" t="n">
        <v>1849</v>
      </c>
      <c r="G851" s="17" t="s">
        <v>230</v>
      </c>
      <c r="H851" s="17" t="s">
        <v>231</v>
      </c>
      <c r="I851" s="17" t="s">
        <v>232</v>
      </c>
      <c r="J851" s="17" t="s">
        <v>233</v>
      </c>
      <c r="K851" s="17" t="n">
        <v>13</v>
      </c>
      <c r="L851" s="17" t="s">
        <v>81</v>
      </c>
      <c r="M851" s="17" t="s">
        <v>76</v>
      </c>
      <c r="N851" s="19" t="n">
        <v>5.42</v>
      </c>
      <c r="O851" s="19" t="n">
        <v>70.46</v>
      </c>
      <c r="P851" s="17" t="s">
        <v>33</v>
      </c>
      <c r="Q851" s="20" t="n">
        <f aca="false">DATE(D851,C851,B851)</f>
        <v>44757</v>
      </c>
      <c r="R851" s="17" t="str">
        <f aca="false">IF(HOUR(E851)&lt;6,"Madrugada (0-5 h)",IF(HOUR(E851)&lt;12,"Mañana (6-11 h)",IF(HOUR(E851)&lt;18,"Tarde (12-17 h)","Noche (18-23 h)")))</f>
        <v>Noche (18-23 h)</v>
      </c>
    </row>
    <row r="852" customFormat="false" ht="15" hidden="false" customHeight="false" outlineLevel="0" collapsed="false">
      <c r="A852" s="17" t="n">
        <v>1851</v>
      </c>
      <c r="B852" s="17" t="n">
        <v>20</v>
      </c>
      <c r="C852" s="17" t="n">
        <v>12</v>
      </c>
      <c r="D852" s="17" t="n">
        <v>2021</v>
      </c>
      <c r="E852" s="18" t="n">
        <v>0.181736111111111</v>
      </c>
      <c r="F852" s="17" t="n">
        <v>4122</v>
      </c>
      <c r="G852" s="17" t="s">
        <v>234</v>
      </c>
      <c r="H852" s="17" t="s">
        <v>235</v>
      </c>
      <c r="I852" s="17" t="s">
        <v>236</v>
      </c>
      <c r="J852" s="17" t="s">
        <v>237</v>
      </c>
      <c r="K852" s="17" t="n">
        <v>1</v>
      </c>
      <c r="L852" s="17" t="s">
        <v>81</v>
      </c>
      <c r="M852" s="17" t="s">
        <v>82</v>
      </c>
      <c r="N852" s="19" t="n">
        <v>25.45</v>
      </c>
      <c r="O852" s="19" t="n">
        <v>25.45</v>
      </c>
      <c r="P852" s="17" t="s">
        <v>33</v>
      </c>
      <c r="Q852" s="20" t="n">
        <f aca="false">DATE(D852,C852,B852)</f>
        <v>44550</v>
      </c>
      <c r="R852" s="17" t="str">
        <f aca="false">IF(HOUR(E852)&lt;6,"Madrugada (0-5 h)",IF(HOUR(E852)&lt;12,"Mañana (6-11 h)",IF(HOUR(E852)&lt;18,"Tarde (12-17 h)","Noche (18-23 h)")))</f>
        <v>Madrugada (0-5 h)</v>
      </c>
    </row>
    <row r="853" customFormat="false" ht="15" hidden="false" customHeight="false" outlineLevel="0" collapsed="false">
      <c r="A853" s="17" t="n">
        <v>1852</v>
      </c>
      <c r="B853" s="17" t="n">
        <v>3</v>
      </c>
      <c r="C853" s="17" t="n">
        <v>6</v>
      </c>
      <c r="D853" s="17" t="n">
        <v>2022</v>
      </c>
      <c r="E853" s="18" t="n">
        <v>0.0282291666666667</v>
      </c>
      <c r="F853" s="17" t="n">
        <v>4466</v>
      </c>
      <c r="G853" s="17" t="s">
        <v>238</v>
      </c>
      <c r="H853" s="17" t="s">
        <v>239</v>
      </c>
      <c r="I853" s="17" t="s">
        <v>240</v>
      </c>
      <c r="J853" s="17" t="s">
        <v>241</v>
      </c>
      <c r="K853" s="17" t="n">
        <v>20</v>
      </c>
      <c r="L853" s="17" t="s">
        <v>81</v>
      </c>
      <c r="M853" s="17" t="s">
        <v>82</v>
      </c>
      <c r="N853" s="19" t="n">
        <v>18.05</v>
      </c>
      <c r="O853" s="19" t="n">
        <v>361</v>
      </c>
      <c r="P853" s="17" t="s">
        <v>33</v>
      </c>
      <c r="Q853" s="20" t="n">
        <f aca="false">DATE(D853,C853,B853)</f>
        <v>44715</v>
      </c>
      <c r="R853" s="17" t="str">
        <f aca="false">IF(HOUR(E853)&lt;6,"Madrugada (0-5 h)",IF(HOUR(E853)&lt;12,"Mañana (6-11 h)",IF(HOUR(E853)&lt;18,"Tarde (12-17 h)","Noche (18-23 h)")))</f>
        <v>Madrugada (0-5 h)</v>
      </c>
    </row>
    <row r="854" customFormat="false" ht="15" hidden="false" customHeight="false" outlineLevel="0" collapsed="false">
      <c r="A854" s="17" t="n">
        <v>1853</v>
      </c>
      <c r="B854" s="17" t="n">
        <v>20</v>
      </c>
      <c r="C854" s="17" t="n">
        <v>6</v>
      </c>
      <c r="D854" s="17" t="n">
        <v>2022</v>
      </c>
      <c r="E854" s="18" t="n">
        <v>0.995659722222222</v>
      </c>
      <c r="F854" s="17" t="n">
        <v>2009</v>
      </c>
      <c r="G854" s="17" t="s">
        <v>242</v>
      </c>
      <c r="H854" s="17" t="s">
        <v>243</v>
      </c>
      <c r="I854" s="17" t="s">
        <v>244</v>
      </c>
      <c r="J854" s="17" t="s">
        <v>245</v>
      </c>
      <c r="K854" s="17" t="n">
        <v>47</v>
      </c>
      <c r="L854" s="17" t="s">
        <v>81</v>
      </c>
      <c r="M854" s="17" t="s">
        <v>76</v>
      </c>
      <c r="N854" s="19" t="n">
        <v>5.38</v>
      </c>
      <c r="O854" s="19" t="n">
        <v>252.86</v>
      </c>
      <c r="P854" s="17" t="s">
        <v>33</v>
      </c>
      <c r="Q854" s="20" t="n">
        <f aca="false">DATE(D854,C854,B854)</f>
        <v>44732</v>
      </c>
      <c r="R854" s="17" t="str">
        <f aca="false">IF(HOUR(E854)&lt;6,"Madrugada (0-5 h)",IF(HOUR(E854)&lt;12,"Mañana (6-11 h)",IF(HOUR(E854)&lt;18,"Tarde (12-17 h)","Noche (18-23 h)")))</f>
        <v>Noche (18-23 h)</v>
      </c>
    </row>
    <row r="855" customFormat="false" ht="15" hidden="false" customHeight="false" outlineLevel="0" collapsed="false">
      <c r="A855" s="17" t="n">
        <v>1854</v>
      </c>
      <c r="B855" s="17" t="n">
        <v>15</v>
      </c>
      <c r="C855" s="17" t="n">
        <v>9</v>
      </c>
      <c r="D855" s="17" t="n">
        <v>2021</v>
      </c>
      <c r="E855" s="18" t="n">
        <v>0.183032407407407</v>
      </c>
      <c r="F855" s="17" t="n">
        <v>2180</v>
      </c>
      <c r="G855" s="17" t="s">
        <v>246</v>
      </c>
      <c r="H855" s="17" t="s">
        <v>478</v>
      </c>
      <c r="I855" s="17" t="s">
        <v>244</v>
      </c>
      <c r="J855" s="17" t="s">
        <v>248</v>
      </c>
      <c r="K855" s="17" t="n">
        <v>16</v>
      </c>
      <c r="L855" s="17" t="s">
        <v>81</v>
      </c>
      <c r="M855" s="17" t="s">
        <v>76</v>
      </c>
      <c r="N855" s="19" t="n">
        <v>9.89</v>
      </c>
      <c r="O855" s="19" t="n">
        <v>158.24</v>
      </c>
      <c r="P855" s="17" t="s">
        <v>33</v>
      </c>
      <c r="Q855" s="20" t="n">
        <f aca="false">DATE(D855,C855,B855)</f>
        <v>44454</v>
      </c>
      <c r="R855" s="17" t="str">
        <f aca="false">IF(HOUR(E855)&lt;6,"Madrugada (0-5 h)",IF(HOUR(E855)&lt;12,"Mañana (6-11 h)",IF(HOUR(E855)&lt;18,"Tarde (12-17 h)","Noche (18-23 h)")))</f>
        <v>Madrugada (0-5 h)</v>
      </c>
    </row>
    <row r="856" customFormat="false" ht="15" hidden="false" customHeight="false" outlineLevel="0" collapsed="false">
      <c r="A856" s="17" t="n">
        <v>1855</v>
      </c>
      <c r="B856" s="17" t="n">
        <v>7</v>
      </c>
      <c r="C856" s="17" t="n">
        <v>7</v>
      </c>
      <c r="D856" s="17" t="n">
        <v>2022</v>
      </c>
      <c r="E856" s="18" t="n">
        <v>0.0253935185185185</v>
      </c>
      <c r="F856" s="17" t="n">
        <v>3124</v>
      </c>
      <c r="G856" s="17" t="s">
        <v>249</v>
      </c>
      <c r="H856" s="17" t="s">
        <v>250</v>
      </c>
      <c r="I856" s="17" t="s">
        <v>251</v>
      </c>
      <c r="J856" s="17" t="s">
        <v>252</v>
      </c>
      <c r="K856" s="17" t="n">
        <v>32</v>
      </c>
      <c r="L856" s="17" t="s">
        <v>125</v>
      </c>
      <c r="M856" s="17" t="s">
        <v>82</v>
      </c>
      <c r="N856" s="19" t="n">
        <v>25.45</v>
      </c>
      <c r="O856" s="19" t="n">
        <v>814.4</v>
      </c>
      <c r="P856" s="17" t="s">
        <v>33</v>
      </c>
      <c r="Q856" s="20" t="n">
        <f aca="false">DATE(D856,C856,B856)</f>
        <v>44749</v>
      </c>
      <c r="R856" s="17" t="str">
        <f aca="false">IF(HOUR(E856)&lt;6,"Madrugada (0-5 h)",IF(HOUR(E856)&lt;12,"Mañana (6-11 h)",IF(HOUR(E856)&lt;18,"Tarde (12-17 h)","Noche (18-23 h)")))</f>
        <v>Madrugada (0-5 h)</v>
      </c>
    </row>
    <row r="857" customFormat="false" ht="15" hidden="false" customHeight="false" outlineLevel="0" collapsed="false">
      <c r="A857" s="17" t="n">
        <v>1856</v>
      </c>
      <c r="B857" s="17" t="n">
        <v>20</v>
      </c>
      <c r="C857" s="17" t="n">
        <v>8</v>
      </c>
      <c r="D857" s="17" t="n">
        <v>2022</v>
      </c>
      <c r="E857" s="18" t="n">
        <v>0.990069444444444</v>
      </c>
      <c r="F857" s="17" t="n">
        <v>3688</v>
      </c>
      <c r="G857" s="17" t="s">
        <v>253</v>
      </c>
      <c r="H857" s="17" t="s">
        <v>250</v>
      </c>
      <c r="I857" s="17" t="s">
        <v>254</v>
      </c>
      <c r="J857" s="17" t="s">
        <v>255</v>
      </c>
      <c r="K857" s="17" t="n">
        <v>16</v>
      </c>
      <c r="L857" s="17" t="s">
        <v>125</v>
      </c>
      <c r="M857" s="17" t="s">
        <v>82</v>
      </c>
      <c r="N857" s="19" t="n">
        <v>16.34</v>
      </c>
      <c r="O857" s="19" t="n">
        <v>261.44</v>
      </c>
      <c r="P857" s="17" t="s">
        <v>33</v>
      </c>
      <c r="Q857" s="20" t="n">
        <f aca="false">DATE(D857,C857,B857)</f>
        <v>44793</v>
      </c>
      <c r="R857" s="17" t="str">
        <f aca="false">IF(HOUR(E857)&lt;6,"Madrugada (0-5 h)",IF(HOUR(E857)&lt;12,"Mañana (6-11 h)",IF(HOUR(E857)&lt;18,"Tarde (12-17 h)","Noche (18-23 h)")))</f>
        <v>Noche (18-23 h)</v>
      </c>
    </row>
    <row r="858" customFormat="false" ht="15" hidden="false" customHeight="false" outlineLevel="0" collapsed="false">
      <c r="A858" s="17" t="n">
        <v>1857</v>
      </c>
      <c r="B858" s="17" t="n">
        <v>7</v>
      </c>
      <c r="C858" s="17" t="n">
        <v>5</v>
      </c>
      <c r="D858" s="17" t="n">
        <v>2022</v>
      </c>
      <c r="E858" s="18" t="n">
        <v>0.865081018518519</v>
      </c>
      <c r="F858" s="17" t="n">
        <v>2510</v>
      </c>
      <c r="G858" s="17" t="s">
        <v>256</v>
      </c>
      <c r="H858" s="17" t="s">
        <v>257</v>
      </c>
      <c r="I858" s="17" t="s">
        <v>258</v>
      </c>
      <c r="J858" s="17" t="s">
        <v>259</v>
      </c>
      <c r="K858" s="17" t="n">
        <v>48</v>
      </c>
      <c r="L858" s="17" t="s">
        <v>125</v>
      </c>
      <c r="M858" s="17" t="s">
        <v>82</v>
      </c>
      <c r="N858" s="19" t="n">
        <v>13.32</v>
      </c>
      <c r="O858" s="19" t="n">
        <v>639.36</v>
      </c>
      <c r="P858" s="17" t="s">
        <v>33</v>
      </c>
      <c r="Q858" s="20" t="n">
        <f aca="false">DATE(D858,C858,B858)</f>
        <v>44688</v>
      </c>
      <c r="R858" s="17" t="str">
        <f aca="false">IF(HOUR(E858)&lt;6,"Madrugada (0-5 h)",IF(HOUR(E858)&lt;12,"Mañana (6-11 h)",IF(HOUR(E858)&lt;18,"Tarde (12-17 h)","Noche (18-23 h)")))</f>
        <v>Noche (18-23 h)</v>
      </c>
    </row>
    <row r="859" customFormat="false" ht="15" hidden="false" customHeight="false" outlineLevel="0" collapsed="false">
      <c r="A859" s="17" t="n">
        <v>1858</v>
      </c>
      <c r="B859" s="17" t="n">
        <v>10</v>
      </c>
      <c r="C859" s="17" t="n">
        <v>12</v>
      </c>
      <c r="D859" s="17" t="n">
        <v>2022</v>
      </c>
      <c r="E859" s="18" t="n">
        <v>0.134050925925926</v>
      </c>
      <c r="F859" s="17" t="n">
        <v>3903</v>
      </c>
      <c r="G859" s="17" t="s">
        <v>260</v>
      </c>
      <c r="H859" s="17" t="s">
        <v>261</v>
      </c>
      <c r="I859" s="17" t="s">
        <v>262</v>
      </c>
      <c r="J859" s="17" t="s">
        <v>263</v>
      </c>
      <c r="K859" s="17" t="n">
        <v>27</v>
      </c>
      <c r="L859" s="17" t="s">
        <v>125</v>
      </c>
      <c r="M859" s="17" t="s">
        <v>82</v>
      </c>
      <c r="N859" s="19" t="n">
        <v>10.1</v>
      </c>
      <c r="O859" s="19" t="n">
        <v>272.7</v>
      </c>
      <c r="P859" s="17" t="s">
        <v>33</v>
      </c>
      <c r="Q859" s="20" t="n">
        <f aca="false">DATE(D859,C859,B859)</f>
        <v>44905</v>
      </c>
      <c r="R859" s="17" t="str">
        <f aca="false">IF(HOUR(E859)&lt;6,"Madrugada (0-5 h)",IF(HOUR(E859)&lt;12,"Mañana (6-11 h)",IF(HOUR(E859)&lt;18,"Tarde (12-17 h)","Noche (18-23 h)")))</f>
        <v>Madrugada (0-5 h)</v>
      </c>
    </row>
    <row r="860" customFormat="false" ht="15" hidden="false" customHeight="false" outlineLevel="0" collapsed="false">
      <c r="A860" s="17" t="n">
        <v>1859</v>
      </c>
      <c r="B860" s="17" t="n">
        <v>21</v>
      </c>
      <c r="C860" s="17" t="n">
        <v>5</v>
      </c>
      <c r="D860" s="17" t="n">
        <v>2022</v>
      </c>
      <c r="E860" s="18" t="n">
        <v>0.943645833333333</v>
      </c>
      <c r="F860" s="17" t="n">
        <v>4781</v>
      </c>
      <c r="G860" s="17" t="s">
        <v>264</v>
      </c>
      <c r="H860" s="17" t="s">
        <v>479</v>
      </c>
      <c r="I860" s="17" t="s">
        <v>266</v>
      </c>
      <c r="J860" s="17" t="s">
        <v>129</v>
      </c>
      <c r="K860" s="17" t="n">
        <v>49</v>
      </c>
      <c r="L860" s="17" t="s">
        <v>61</v>
      </c>
      <c r="M860" s="17" t="s">
        <v>32</v>
      </c>
      <c r="N860" s="19" t="n">
        <v>4.56</v>
      </c>
      <c r="O860" s="19" t="n">
        <v>223.44</v>
      </c>
      <c r="P860" s="17" t="s">
        <v>33</v>
      </c>
      <c r="Q860" s="20" t="n">
        <f aca="false">DATE(D860,C860,B860)</f>
        <v>44702</v>
      </c>
      <c r="R860" s="17" t="str">
        <f aca="false">IF(HOUR(E860)&lt;6,"Madrugada (0-5 h)",IF(HOUR(E860)&lt;12,"Mañana (6-11 h)",IF(HOUR(E860)&lt;18,"Tarde (12-17 h)","Noche (18-23 h)")))</f>
        <v>Noche (18-23 h)</v>
      </c>
    </row>
    <row r="861" customFormat="false" ht="15" hidden="false" customHeight="false" outlineLevel="0" collapsed="false">
      <c r="A861" s="17" t="n">
        <v>1860</v>
      </c>
      <c r="B861" s="17" t="n">
        <v>10</v>
      </c>
      <c r="C861" s="17" t="n">
        <v>2</v>
      </c>
      <c r="D861" s="17" t="n">
        <v>2021</v>
      </c>
      <c r="E861" s="18" t="n">
        <v>0.868206018518519</v>
      </c>
      <c r="F861" s="17" t="n">
        <v>4832</v>
      </c>
      <c r="G861" s="17" t="s">
        <v>267</v>
      </c>
      <c r="H861" s="17" t="s">
        <v>267</v>
      </c>
      <c r="I861" s="17" t="s">
        <v>93</v>
      </c>
      <c r="J861" s="17" t="s">
        <v>268</v>
      </c>
      <c r="K861" s="17" t="n">
        <v>11</v>
      </c>
      <c r="L861" s="17" t="s">
        <v>61</v>
      </c>
      <c r="M861" s="17" t="s">
        <v>32</v>
      </c>
      <c r="N861" s="19" t="n">
        <v>5.56</v>
      </c>
      <c r="O861" s="19" t="n">
        <v>61.16</v>
      </c>
      <c r="P861" s="17" t="s">
        <v>33</v>
      </c>
      <c r="Q861" s="20" t="n">
        <f aca="false">DATE(D861,C861,B861)</f>
        <v>44237</v>
      </c>
      <c r="R861" s="17" t="str">
        <f aca="false">IF(HOUR(E861)&lt;6,"Madrugada (0-5 h)",IF(HOUR(E861)&lt;12,"Mañana (6-11 h)",IF(HOUR(E861)&lt;18,"Tarde (12-17 h)","Noche (18-23 h)")))</f>
        <v>Noche (18-23 h)</v>
      </c>
    </row>
    <row r="862" customFormat="false" ht="15" hidden="false" customHeight="false" outlineLevel="0" collapsed="false">
      <c r="A862" s="17" t="n">
        <v>1861</v>
      </c>
      <c r="B862" s="17" t="n">
        <v>15</v>
      </c>
      <c r="C862" s="17" t="n">
        <v>9</v>
      </c>
      <c r="D862" s="17" t="n">
        <v>2021</v>
      </c>
      <c r="E862" s="18" t="n">
        <v>0.4259375</v>
      </c>
      <c r="F862" s="17" t="n">
        <v>3848</v>
      </c>
      <c r="G862" s="17" t="s">
        <v>269</v>
      </c>
      <c r="H862" s="17" t="s">
        <v>270</v>
      </c>
      <c r="I862" s="17" t="s">
        <v>271</v>
      </c>
      <c r="J862" s="17" t="s">
        <v>272</v>
      </c>
      <c r="K862" s="17" t="n">
        <v>13</v>
      </c>
      <c r="L862" s="17" t="s">
        <v>61</v>
      </c>
      <c r="M862" s="17" t="s">
        <v>32</v>
      </c>
      <c r="N862" s="19" t="n">
        <v>3.43</v>
      </c>
      <c r="O862" s="19" t="n">
        <v>44.59</v>
      </c>
      <c r="P862" s="17" t="s">
        <v>33</v>
      </c>
      <c r="Q862" s="20" t="n">
        <f aca="false">DATE(D862,C862,B862)</f>
        <v>44454</v>
      </c>
      <c r="R862" s="17" t="str">
        <f aca="false">IF(HOUR(E862)&lt;6,"Madrugada (0-5 h)",IF(HOUR(E862)&lt;12,"Mañana (6-11 h)",IF(HOUR(E862)&lt;18,"Tarde (12-17 h)","Noche (18-23 h)")))</f>
        <v>Mañana (6-11 h)</v>
      </c>
    </row>
    <row r="863" customFormat="false" ht="15" hidden="false" customHeight="false" outlineLevel="0" collapsed="false">
      <c r="A863" s="17" t="n">
        <v>1862</v>
      </c>
      <c r="B863" s="17" t="n">
        <v>13</v>
      </c>
      <c r="C863" s="17" t="n">
        <v>12</v>
      </c>
      <c r="D863" s="17" t="n">
        <v>2021</v>
      </c>
      <c r="E863" s="18" t="n">
        <v>0.699571759259259</v>
      </c>
      <c r="F863" s="17" t="n">
        <v>4021</v>
      </c>
      <c r="G863" s="17" t="s">
        <v>273</v>
      </c>
      <c r="H863" s="17" t="s">
        <v>274</v>
      </c>
      <c r="I863" s="17" t="s">
        <v>275</v>
      </c>
      <c r="J863" s="17" t="s">
        <v>276</v>
      </c>
      <c r="K863" s="17" t="n">
        <v>31</v>
      </c>
      <c r="L863" s="17" t="s">
        <v>31</v>
      </c>
      <c r="M863" s="17" t="s">
        <v>32</v>
      </c>
      <c r="N863" s="19" t="n">
        <v>15.02</v>
      </c>
      <c r="O863" s="19" t="n">
        <v>465.62</v>
      </c>
      <c r="P863" s="17" t="s">
        <v>33</v>
      </c>
      <c r="Q863" s="20" t="n">
        <f aca="false">DATE(D863,C863,B863)</f>
        <v>44543</v>
      </c>
      <c r="R863" s="17" t="str">
        <f aca="false">IF(HOUR(E863)&lt;6,"Madrugada (0-5 h)",IF(HOUR(E863)&lt;12,"Mañana (6-11 h)",IF(HOUR(E863)&lt;18,"Tarde (12-17 h)","Noche (18-23 h)")))</f>
        <v>Tarde (12-17 h)</v>
      </c>
    </row>
    <row r="864" customFormat="false" ht="15" hidden="false" customHeight="false" outlineLevel="0" collapsed="false">
      <c r="A864" s="17" t="n">
        <v>1863</v>
      </c>
      <c r="B864" s="17" t="n">
        <v>16</v>
      </c>
      <c r="C864" s="17" t="n">
        <v>11</v>
      </c>
      <c r="D864" s="17" t="n">
        <v>2022</v>
      </c>
      <c r="E864" s="18" t="n">
        <v>0.973773148148148</v>
      </c>
      <c r="F864" s="17" t="n">
        <v>1054</v>
      </c>
      <c r="G864" s="17" t="s">
        <v>277</v>
      </c>
      <c r="H864" s="17" t="s">
        <v>278</v>
      </c>
      <c r="I864" s="17" t="s">
        <v>279</v>
      </c>
      <c r="J864" s="17" t="s">
        <v>280</v>
      </c>
      <c r="K864" s="17" t="n">
        <v>34</v>
      </c>
      <c r="L864" s="17" t="s">
        <v>31</v>
      </c>
      <c r="M864" s="17" t="s">
        <v>32</v>
      </c>
      <c r="N864" s="19" t="n">
        <v>2.02</v>
      </c>
      <c r="O864" s="19" t="n">
        <v>68.68</v>
      </c>
      <c r="P864" s="17" t="s">
        <v>33</v>
      </c>
      <c r="Q864" s="20" t="n">
        <f aca="false">DATE(D864,C864,B864)</f>
        <v>44881</v>
      </c>
      <c r="R864" s="17" t="str">
        <f aca="false">IF(HOUR(E864)&lt;6,"Madrugada (0-5 h)",IF(HOUR(E864)&lt;12,"Mañana (6-11 h)",IF(HOUR(E864)&lt;18,"Tarde (12-17 h)","Noche (18-23 h)")))</f>
        <v>Noche (18-23 h)</v>
      </c>
    </row>
    <row r="865" customFormat="false" ht="15" hidden="false" customHeight="false" outlineLevel="0" collapsed="false">
      <c r="A865" s="17" t="n">
        <v>1864</v>
      </c>
      <c r="B865" s="17" t="n">
        <v>19</v>
      </c>
      <c r="C865" s="17" t="n">
        <v>2</v>
      </c>
      <c r="D865" s="17" t="n">
        <v>2022</v>
      </c>
      <c r="E865" s="18" t="n">
        <v>0.479560185185185</v>
      </c>
      <c r="F865" s="17" t="n">
        <v>2652</v>
      </c>
      <c r="G865" s="17" t="s">
        <v>224</v>
      </c>
      <c r="H865" s="17" t="s">
        <v>224</v>
      </c>
      <c r="I865" s="17" t="s">
        <v>281</v>
      </c>
      <c r="J865" s="17" t="s">
        <v>282</v>
      </c>
      <c r="K865" s="17" t="n">
        <v>10</v>
      </c>
      <c r="L865" s="17" t="s">
        <v>31</v>
      </c>
      <c r="M865" s="17" t="s">
        <v>32</v>
      </c>
      <c r="N865" s="19" t="n">
        <v>2.45</v>
      </c>
      <c r="O865" s="19" t="n">
        <v>24.5</v>
      </c>
      <c r="P865" s="17" t="s">
        <v>33</v>
      </c>
      <c r="Q865" s="20" t="n">
        <f aca="false">DATE(D865,C865,B865)</f>
        <v>44611</v>
      </c>
      <c r="R865" s="17" t="str">
        <f aca="false">IF(HOUR(E865)&lt;6,"Madrugada (0-5 h)",IF(HOUR(E865)&lt;12,"Mañana (6-11 h)",IF(HOUR(E865)&lt;18,"Tarde (12-17 h)","Noche (18-23 h)")))</f>
        <v>Mañana (6-11 h)</v>
      </c>
    </row>
    <row r="866" customFormat="false" ht="15" hidden="false" customHeight="false" outlineLevel="0" collapsed="false">
      <c r="A866" s="17" t="n">
        <v>1865</v>
      </c>
      <c r="B866" s="17" t="n">
        <v>2</v>
      </c>
      <c r="C866" s="17" t="n">
        <v>8</v>
      </c>
      <c r="D866" s="17" t="n">
        <v>2022</v>
      </c>
      <c r="E866" s="18" t="n">
        <v>0.82630787037037</v>
      </c>
      <c r="F866" s="17" t="n">
        <v>4324</v>
      </c>
      <c r="G866" s="17" t="s">
        <v>220</v>
      </c>
      <c r="H866" s="17" t="s">
        <v>221</v>
      </c>
      <c r="I866" s="17" t="s">
        <v>283</v>
      </c>
      <c r="J866" s="17" t="s">
        <v>284</v>
      </c>
      <c r="K866" s="17" t="n">
        <v>40</v>
      </c>
      <c r="L866" s="17" t="s">
        <v>31</v>
      </c>
      <c r="M866" s="17" t="s">
        <v>32</v>
      </c>
      <c r="N866" s="19" t="n">
        <v>6.53</v>
      </c>
      <c r="O866" s="19" t="n">
        <v>261.2</v>
      </c>
      <c r="P866" s="17" t="s">
        <v>33</v>
      </c>
      <c r="Q866" s="20" t="n">
        <f aca="false">DATE(D866,C866,B866)</f>
        <v>44775</v>
      </c>
      <c r="R866" s="17" t="str">
        <f aca="false">IF(HOUR(E866)&lt;6,"Madrugada (0-5 h)",IF(HOUR(E866)&lt;12,"Mañana (6-11 h)",IF(HOUR(E866)&lt;18,"Tarde (12-17 h)","Noche (18-23 h)")))</f>
        <v>Noche (18-23 h)</v>
      </c>
    </row>
    <row r="867" customFormat="false" ht="15" hidden="false" customHeight="false" outlineLevel="0" collapsed="false">
      <c r="A867" s="17" t="n">
        <v>1866</v>
      </c>
      <c r="B867" s="17" t="n">
        <v>11</v>
      </c>
      <c r="C867" s="17" t="n">
        <v>1</v>
      </c>
      <c r="D867" s="17" t="n">
        <v>2022</v>
      </c>
      <c r="E867" s="18" t="n">
        <v>0.217407407407407</v>
      </c>
      <c r="F867" s="17" t="n">
        <v>3951</v>
      </c>
      <c r="G867" s="17" t="s">
        <v>285</v>
      </c>
      <c r="H867" s="17" t="s">
        <v>286</v>
      </c>
      <c r="I867" s="17" t="s">
        <v>287</v>
      </c>
      <c r="J867" s="17" t="s">
        <v>288</v>
      </c>
      <c r="K867" s="17" t="n">
        <v>11</v>
      </c>
      <c r="L867" s="17" t="s">
        <v>31</v>
      </c>
      <c r="M867" s="17" t="s">
        <v>32</v>
      </c>
      <c r="N867" s="19" t="n">
        <v>5.55</v>
      </c>
      <c r="O867" s="19" t="n">
        <v>61.05</v>
      </c>
      <c r="P867" s="17" t="s">
        <v>33</v>
      </c>
      <c r="Q867" s="20" t="n">
        <f aca="false">DATE(D867,C867,B867)</f>
        <v>44572</v>
      </c>
      <c r="R867" s="17" t="str">
        <f aca="false">IF(HOUR(E867)&lt;6,"Madrugada (0-5 h)",IF(HOUR(E867)&lt;12,"Mañana (6-11 h)",IF(HOUR(E867)&lt;18,"Tarde (12-17 h)","Noche (18-23 h)")))</f>
        <v>Madrugada (0-5 h)</v>
      </c>
    </row>
    <row r="868" customFormat="false" ht="15" hidden="false" customHeight="false" outlineLevel="0" collapsed="false">
      <c r="A868" s="17" t="n">
        <v>1867</v>
      </c>
      <c r="B868" s="17" t="n">
        <v>7</v>
      </c>
      <c r="C868" s="17" t="n">
        <v>10</v>
      </c>
      <c r="D868" s="17" t="n">
        <v>2021</v>
      </c>
      <c r="E868" s="18" t="n">
        <v>0.685925925925926</v>
      </c>
      <c r="F868" s="17" t="n">
        <v>4573</v>
      </c>
      <c r="G868" s="17" t="s">
        <v>91</v>
      </c>
      <c r="H868" s="17" t="s">
        <v>92</v>
      </c>
      <c r="I868" s="17" t="s">
        <v>289</v>
      </c>
      <c r="J868" s="17" t="s">
        <v>290</v>
      </c>
      <c r="K868" s="17" t="n">
        <v>35</v>
      </c>
      <c r="L868" s="17" t="s">
        <v>61</v>
      </c>
      <c r="M868" s="17" t="s">
        <v>32</v>
      </c>
      <c r="N868" s="19" t="n">
        <v>4.12</v>
      </c>
      <c r="O868" s="19" t="n">
        <v>144.2</v>
      </c>
      <c r="P868" s="17" t="s">
        <v>33</v>
      </c>
      <c r="Q868" s="20" t="n">
        <f aca="false">DATE(D868,C868,B868)</f>
        <v>44476</v>
      </c>
      <c r="R868" s="17" t="str">
        <f aca="false">IF(HOUR(E868)&lt;6,"Madrugada (0-5 h)",IF(HOUR(E868)&lt;12,"Mañana (6-11 h)",IF(HOUR(E868)&lt;18,"Tarde (12-17 h)","Noche (18-23 h)")))</f>
        <v>Tarde (12-17 h)</v>
      </c>
    </row>
    <row r="869" customFormat="false" ht="15" hidden="false" customHeight="false" outlineLevel="0" collapsed="false">
      <c r="A869" s="17" t="n">
        <v>1868</v>
      </c>
      <c r="B869" s="17" t="n">
        <v>5</v>
      </c>
      <c r="C869" s="17" t="n">
        <v>6</v>
      </c>
      <c r="D869" s="17" t="n">
        <v>2022</v>
      </c>
      <c r="E869" s="18" t="n">
        <v>0.60630787037037</v>
      </c>
      <c r="F869" s="17" t="n">
        <v>1530</v>
      </c>
      <c r="G869" s="17" t="s">
        <v>291</v>
      </c>
      <c r="H869" s="17" t="s">
        <v>480</v>
      </c>
      <c r="I869" s="17" t="s">
        <v>293</v>
      </c>
      <c r="J869" s="17" t="s">
        <v>294</v>
      </c>
      <c r="K869" s="17" t="n">
        <v>17</v>
      </c>
      <c r="L869" s="17" t="s">
        <v>42</v>
      </c>
      <c r="M869" s="17" t="s">
        <v>32</v>
      </c>
      <c r="N869" s="19" t="n">
        <v>5.76</v>
      </c>
      <c r="O869" s="19" t="n">
        <v>97.92</v>
      </c>
      <c r="P869" s="17" t="s">
        <v>33</v>
      </c>
      <c r="Q869" s="20" t="n">
        <f aca="false">DATE(D869,C869,B869)</f>
        <v>44717</v>
      </c>
      <c r="R869" s="17" t="str">
        <f aca="false">IF(HOUR(E869)&lt;6,"Madrugada (0-5 h)",IF(HOUR(E869)&lt;12,"Mañana (6-11 h)",IF(HOUR(E869)&lt;18,"Tarde (12-17 h)","Noche (18-23 h)")))</f>
        <v>Tarde (12-17 h)</v>
      </c>
    </row>
    <row r="870" customFormat="false" ht="15" hidden="false" customHeight="false" outlineLevel="0" collapsed="false">
      <c r="A870" s="17" t="n">
        <v>1869</v>
      </c>
      <c r="B870" s="17" t="n">
        <v>3</v>
      </c>
      <c r="C870" s="17" t="n">
        <v>10</v>
      </c>
      <c r="D870" s="17" t="n">
        <v>2022</v>
      </c>
      <c r="E870" s="18" t="n">
        <v>0.985960648148148</v>
      </c>
      <c r="F870" s="17" t="n">
        <v>1951</v>
      </c>
      <c r="G870" s="17" t="s">
        <v>295</v>
      </c>
      <c r="H870" s="17" t="s">
        <v>296</v>
      </c>
      <c r="I870" s="17" t="s">
        <v>297</v>
      </c>
      <c r="J870" s="17" t="s">
        <v>298</v>
      </c>
      <c r="K870" s="17" t="n">
        <v>6</v>
      </c>
      <c r="L870" s="17" t="s">
        <v>98</v>
      </c>
      <c r="M870" s="17" t="s">
        <v>62</v>
      </c>
      <c r="N870" s="19" t="n">
        <v>3.5</v>
      </c>
      <c r="O870" s="19" t="n">
        <v>21</v>
      </c>
      <c r="P870" s="17" t="s">
        <v>33</v>
      </c>
      <c r="Q870" s="20" t="n">
        <f aca="false">DATE(D870,C870,B870)</f>
        <v>44837</v>
      </c>
      <c r="R870" s="17" t="str">
        <f aca="false">IF(HOUR(E870)&lt;6,"Madrugada (0-5 h)",IF(HOUR(E870)&lt;12,"Mañana (6-11 h)",IF(HOUR(E870)&lt;18,"Tarde (12-17 h)","Noche (18-23 h)")))</f>
        <v>Noche (18-23 h)</v>
      </c>
    </row>
    <row r="871" customFormat="false" ht="15" hidden="false" customHeight="false" outlineLevel="0" collapsed="false">
      <c r="A871" s="17" t="n">
        <v>1870</v>
      </c>
      <c r="B871" s="17" t="n">
        <v>6</v>
      </c>
      <c r="C871" s="17" t="n">
        <v>1</v>
      </c>
      <c r="D871" s="17" t="n">
        <v>2022</v>
      </c>
      <c r="E871" s="18" t="n">
        <v>0.976608796296296</v>
      </c>
      <c r="F871" s="17" t="n">
        <v>1237</v>
      </c>
      <c r="G871" s="17" t="s">
        <v>72</v>
      </c>
      <c r="H871" s="17" t="s">
        <v>299</v>
      </c>
      <c r="I871" s="17" t="s">
        <v>300</v>
      </c>
      <c r="J871" s="17" t="s">
        <v>301</v>
      </c>
      <c r="K871" s="17" t="n">
        <v>38</v>
      </c>
      <c r="L871" s="17" t="s">
        <v>61</v>
      </c>
      <c r="M871" s="17" t="s">
        <v>76</v>
      </c>
      <c r="N871" s="19" t="n">
        <v>13.71</v>
      </c>
      <c r="O871" s="19" t="n">
        <v>520.98</v>
      </c>
      <c r="P871" s="17" t="s">
        <v>33</v>
      </c>
      <c r="Q871" s="20" t="n">
        <f aca="false">DATE(D871,C871,B871)</f>
        <v>44567</v>
      </c>
      <c r="R871" s="17" t="str">
        <f aca="false">IF(HOUR(E871)&lt;6,"Madrugada (0-5 h)",IF(HOUR(E871)&lt;12,"Mañana (6-11 h)",IF(HOUR(E871)&lt;18,"Tarde (12-17 h)","Noche (18-23 h)")))</f>
        <v>Noche (18-23 h)</v>
      </c>
    </row>
    <row r="872" customFormat="false" ht="15" hidden="false" customHeight="false" outlineLevel="0" collapsed="false">
      <c r="A872" s="17" t="n">
        <v>1871</v>
      </c>
      <c r="B872" s="17" t="n">
        <v>28</v>
      </c>
      <c r="C872" s="17" t="n">
        <v>9</v>
      </c>
      <c r="D872" s="17" t="n">
        <v>2021</v>
      </c>
      <c r="E872" s="18" t="n">
        <v>0.904525462962963</v>
      </c>
      <c r="F872" s="17" t="n">
        <v>2782</v>
      </c>
      <c r="G872" s="17" t="s">
        <v>302</v>
      </c>
      <c r="H872" s="17" t="s">
        <v>303</v>
      </c>
      <c r="I872" s="17" t="s">
        <v>300</v>
      </c>
      <c r="J872" s="17" t="s">
        <v>301</v>
      </c>
      <c r="K872" s="17" t="n">
        <v>45</v>
      </c>
      <c r="L872" s="17" t="s">
        <v>61</v>
      </c>
      <c r="M872" s="17" t="s">
        <v>76</v>
      </c>
      <c r="N872" s="19" t="n">
        <v>22.36</v>
      </c>
      <c r="O872" s="19" t="n">
        <v>1006.2</v>
      </c>
      <c r="P872" s="17" t="s">
        <v>33</v>
      </c>
      <c r="Q872" s="20" t="n">
        <f aca="false">DATE(D872,C872,B872)</f>
        <v>44467</v>
      </c>
      <c r="R872" s="17" t="str">
        <f aca="false">IF(HOUR(E872)&lt;6,"Madrugada (0-5 h)",IF(HOUR(E872)&lt;12,"Mañana (6-11 h)",IF(HOUR(E872)&lt;18,"Tarde (12-17 h)","Noche (18-23 h)")))</f>
        <v>Noche (18-23 h)</v>
      </c>
    </row>
    <row r="873" customFormat="false" ht="15" hidden="false" customHeight="false" outlineLevel="0" collapsed="false">
      <c r="A873" s="17" t="n">
        <v>1872</v>
      </c>
      <c r="B873" s="17" t="n">
        <v>9</v>
      </c>
      <c r="C873" s="17" t="n">
        <v>4</v>
      </c>
      <c r="D873" s="17" t="n">
        <v>2021</v>
      </c>
      <c r="E873" s="18" t="n">
        <v>0.235752314814815</v>
      </c>
      <c r="F873" s="17" t="n">
        <v>4115</v>
      </c>
      <c r="G873" s="17" t="s">
        <v>304</v>
      </c>
      <c r="H873" s="17" t="s">
        <v>305</v>
      </c>
      <c r="I873" s="17" t="s">
        <v>305</v>
      </c>
      <c r="J873" s="17" t="s">
        <v>306</v>
      </c>
      <c r="K873" s="17" t="n">
        <v>43</v>
      </c>
      <c r="L873" s="17" t="s">
        <v>31</v>
      </c>
      <c r="M873" s="17" t="s">
        <v>32</v>
      </c>
      <c r="N873" s="19" t="n">
        <v>6.68</v>
      </c>
      <c r="O873" s="19" t="n">
        <v>287.24</v>
      </c>
      <c r="P873" s="17" t="s">
        <v>33</v>
      </c>
      <c r="Q873" s="20" t="n">
        <f aca="false">DATE(D873,C873,B873)</f>
        <v>44295</v>
      </c>
      <c r="R873" s="17" t="str">
        <f aca="false">IF(HOUR(E873)&lt;6,"Madrugada (0-5 h)",IF(HOUR(E873)&lt;12,"Mañana (6-11 h)",IF(HOUR(E873)&lt;18,"Tarde (12-17 h)","Noche (18-23 h)")))</f>
        <v>Madrugada (0-5 h)</v>
      </c>
    </row>
    <row r="874" customFormat="false" ht="15" hidden="false" customHeight="false" outlineLevel="0" collapsed="false">
      <c r="A874" s="17" t="n">
        <v>1873</v>
      </c>
      <c r="B874" s="17" t="n">
        <v>10</v>
      </c>
      <c r="C874" s="17" t="n">
        <v>4</v>
      </c>
      <c r="D874" s="17" t="n">
        <v>2021</v>
      </c>
      <c r="E874" s="18" t="n">
        <v>0.883993055555556</v>
      </c>
      <c r="F874" s="17" t="n">
        <v>1611</v>
      </c>
      <c r="G874" s="17" t="s">
        <v>307</v>
      </c>
      <c r="H874" s="17" t="s">
        <v>250</v>
      </c>
      <c r="I874" s="17" t="s">
        <v>308</v>
      </c>
      <c r="J874" s="17" t="s">
        <v>309</v>
      </c>
      <c r="K874" s="17" t="n">
        <v>3</v>
      </c>
      <c r="L874" s="17" t="s">
        <v>31</v>
      </c>
      <c r="M874" s="17" t="s">
        <v>32</v>
      </c>
      <c r="N874" s="19" t="n">
        <v>10.05</v>
      </c>
      <c r="O874" s="19" t="n">
        <v>30.15</v>
      </c>
      <c r="P874" s="17" t="s">
        <v>33</v>
      </c>
      <c r="Q874" s="20" t="n">
        <f aca="false">DATE(D874,C874,B874)</f>
        <v>44296</v>
      </c>
      <c r="R874" s="17" t="str">
        <f aca="false">IF(HOUR(E874)&lt;6,"Madrugada (0-5 h)",IF(HOUR(E874)&lt;12,"Mañana (6-11 h)",IF(HOUR(E874)&lt;18,"Tarde (12-17 h)","Noche (18-23 h)")))</f>
        <v>Noche (18-23 h)</v>
      </c>
    </row>
    <row r="875" customFormat="false" ht="15" hidden="false" customHeight="false" outlineLevel="0" collapsed="false">
      <c r="A875" s="17" t="n">
        <v>1874</v>
      </c>
      <c r="B875" s="17" t="n">
        <v>28</v>
      </c>
      <c r="C875" s="17" t="n">
        <v>6</v>
      </c>
      <c r="D875" s="17" t="n">
        <v>2021</v>
      </c>
      <c r="E875" s="18" t="n">
        <v>0.840902777777778</v>
      </c>
      <c r="F875" s="17" t="n">
        <v>3499</v>
      </c>
      <c r="G875" s="17" t="s">
        <v>310</v>
      </c>
      <c r="H875" s="17" t="s">
        <v>311</v>
      </c>
      <c r="I875" s="17" t="s">
        <v>312</v>
      </c>
      <c r="J875" s="17" t="s">
        <v>313</v>
      </c>
      <c r="K875" s="17" t="n">
        <v>43</v>
      </c>
      <c r="L875" s="17" t="s">
        <v>31</v>
      </c>
      <c r="M875" s="17" t="s">
        <v>32</v>
      </c>
      <c r="N875" s="19" t="n">
        <v>1.55</v>
      </c>
      <c r="O875" s="19" t="n">
        <v>66.65</v>
      </c>
      <c r="P875" s="17" t="s">
        <v>33</v>
      </c>
      <c r="Q875" s="20" t="n">
        <f aca="false">DATE(D875,C875,B875)</f>
        <v>44375</v>
      </c>
      <c r="R875" s="17" t="str">
        <f aca="false">IF(HOUR(E875)&lt;6,"Madrugada (0-5 h)",IF(HOUR(E875)&lt;12,"Mañana (6-11 h)",IF(HOUR(E875)&lt;18,"Tarde (12-17 h)","Noche (18-23 h)")))</f>
        <v>Noche (18-23 h)</v>
      </c>
    </row>
    <row r="876" customFormat="false" ht="15" hidden="false" customHeight="false" outlineLevel="0" collapsed="false">
      <c r="A876" s="17" t="n">
        <v>1875</v>
      </c>
      <c r="B876" s="17" t="n">
        <v>13</v>
      </c>
      <c r="C876" s="17" t="n">
        <v>8</v>
      </c>
      <c r="D876" s="17" t="n">
        <v>2021</v>
      </c>
      <c r="E876" s="18" t="n">
        <v>0.653252314814815</v>
      </c>
      <c r="F876" s="17" t="n">
        <v>1199</v>
      </c>
      <c r="G876" s="17" t="s">
        <v>314</v>
      </c>
      <c r="H876" s="17" t="s">
        <v>315</v>
      </c>
      <c r="I876" s="17" t="s">
        <v>316</v>
      </c>
      <c r="J876" s="17" t="s">
        <v>317</v>
      </c>
      <c r="K876" s="17" t="n">
        <v>11</v>
      </c>
      <c r="L876" s="17" t="s">
        <v>31</v>
      </c>
      <c r="M876" s="17" t="s">
        <v>32</v>
      </c>
      <c r="N876" s="19" t="n">
        <v>4.55</v>
      </c>
      <c r="O876" s="19" t="n">
        <v>50.05</v>
      </c>
      <c r="P876" s="17" t="s">
        <v>33</v>
      </c>
      <c r="Q876" s="20" t="n">
        <f aca="false">DATE(D876,C876,B876)</f>
        <v>44421</v>
      </c>
      <c r="R876" s="17" t="str">
        <f aca="false">IF(HOUR(E876)&lt;6,"Madrugada (0-5 h)",IF(HOUR(E876)&lt;12,"Mañana (6-11 h)",IF(HOUR(E876)&lt;18,"Tarde (12-17 h)","Noche (18-23 h)")))</f>
        <v>Tarde (12-17 h)</v>
      </c>
    </row>
    <row r="877" customFormat="false" ht="15" hidden="false" customHeight="false" outlineLevel="0" collapsed="false">
      <c r="A877" s="17" t="n">
        <v>1876</v>
      </c>
      <c r="B877" s="17" t="n">
        <v>5</v>
      </c>
      <c r="C877" s="17" t="n">
        <v>7</v>
      </c>
      <c r="D877" s="17" t="n">
        <v>2022</v>
      </c>
      <c r="E877" s="18" t="n">
        <v>0.501701388888889</v>
      </c>
      <c r="F877" s="17" t="n">
        <v>3669</v>
      </c>
      <c r="G877" s="17" t="s">
        <v>318</v>
      </c>
      <c r="H877" s="17" t="s">
        <v>319</v>
      </c>
      <c r="I877" s="17" t="s">
        <v>320</v>
      </c>
      <c r="J877" s="17" t="s">
        <v>321</v>
      </c>
      <c r="K877" s="17" t="n">
        <v>7</v>
      </c>
      <c r="L877" s="17" t="s">
        <v>31</v>
      </c>
      <c r="M877" s="17" t="s">
        <v>82</v>
      </c>
      <c r="N877" s="19" t="n">
        <v>5.74</v>
      </c>
      <c r="O877" s="19" t="n">
        <v>40.18</v>
      </c>
      <c r="P877" s="17" t="s">
        <v>33</v>
      </c>
      <c r="Q877" s="20" t="n">
        <f aca="false">DATE(D877,C877,B877)</f>
        <v>44747</v>
      </c>
      <c r="R877" s="17" t="str">
        <f aca="false">IF(HOUR(E877)&lt;6,"Madrugada (0-5 h)",IF(HOUR(E877)&lt;12,"Mañana (6-11 h)",IF(HOUR(E877)&lt;18,"Tarde (12-17 h)","Noche (18-23 h)")))</f>
        <v>Tarde (12-17 h)</v>
      </c>
    </row>
    <row r="878" customFormat="false" ht="15" hidden="false" customHeight="false" outlineLevel="0" collapsed="false">
      <c r="A878" s="17" t="n">
        <v>1877</v>
      </c>
      <c r="B878" s="17" t="n">
        <v>3</v>
      </c>
      <c r="C878" s="17" t="n">
        <v>8</v>
      </c>
      <c r="D878" s="17" t="n">
        <v>2021</v>
      </c>
      <c r="E878" s="18" t="n">
        <v>0.131608796296296</v>
      </c>
      <c r="F878" s="17" t="n">
        <v>1013</v>
      </c>
      <c r="G878" s="17" t="s">
        <v>322</v>
      </c>
      <c r="H878" s="17" t="s">
        <v>323</v>
      </c>
      <c r="I878" s="17" t="s">
        <v>324</v>
      </c>
      <c r="J878" s="17" t="s">
        <v>325</v>
      </c>
      <c r="K878" s="17" t="n">
        <v>17</v>
      </c>
      <c r="L878" s="17" t="s">
        <v>61</v>
      </c>
      <c r="M878" s="17" t="s">
        <v>76</v>
      </c>
      <c r="N878" s="19" t="n">
        <v>10.99</v>
      </c>
      <c r="O878" s="19" t="n">
        <v>186.83</v>
      </c>
      <c r="P878" s="17" t="s">
        <v>33</v>
      </c>
      <c r="Q878" s="20" t="n">
        <f aca="false">DATE(D878,C878,B878)</f>
        <v>44411</v>
      </c>
      <c r="R878" s="17" t="str">
        <f aca="false">IF(HOUR(E878)&lt;6,"Madrugada (0-5 h)",IF(HOUR(E878)&lt;12,"Mañana (6-11 h)",IF(HOUR(E878)&lt;18,"Tarde (12-17 h)","Noche (18-23 h)")))</f>
        <v>Madrugada (0-5 h)</v>
      </c>
    </row>
    <row r="879" customFormat="false" ht="15" hidden="false" customHeight="false" outlineLevel="0" collapsed="false">
      <c r="A879" s="17" t="n">
        <v>1878</v>
      </c>
      <c r="B879" s="17" t="n">
        <v>22</v>
      </c>
      <c r="C879" s="17" t="n">
        <v>2</v>
      </c>
      <c r="D879" s="17" t="n">
        <v>2021</v>
      </c>
      <c r="E879" s="18" t="n">
        <v>0.954166666666667</v>
      </c>
      <c r="F879" s="17" t="n">
        <v>2658</v>
      </c>
      <c r="G879" s="17" t="s">
        <v>188</v>
      </c>
      <c r="H879" s="17" t="s">
        <v>326</v>
      </c>
      <c r="I879" s="17" t="s">
        <v>190</v>
      </c>
      <c r="J879" s="17" t="s">
        <v>191</v>
      </c>
      <c r="K879" s="17" t="n">
        <v>29</v>
      </c>
      <c r="L879" s="17" t="s">
        <v>61</v>
      </c>
      <c r="M879" s="17" t="s">
        <v>76</v>
      </c>
      <c r="N879" s="19" t="n">
        <v>13.55</v>
      </c>
      <c r="O879" s="19" t="n">
        <v>392.95</v>
      </c>
      <c r="P879" s="17" t="s">
        <v>43</v>
      </c>
      <c r="Q879" s="20" t="n">
        <f aca="false">DATE(D879,C879,B879)</f>
        <v>44249</v>
      </c>
      <c r="R879" s="17" t="str">
        <f aca="false">IF(HOUR(E879)&lt;6,"Madrugada (0-5 h)",IF(HOUR(E879)&lt;12,"Mañana (6-11 h)",IF(HOUR(E879)&lt;18,"Tarde (12-17 h)","Noche (18-23 h)")))</f>
        <v>Noche (18-23 h)</v>
      </c>
    </row>
    <row r="880" customFormat="false" ht="15" hidden="false" customHeight="false" outlineLevel="0" collapsed="false">
      <c r="A880" s="17" t="n">
        <v>1879</v>
      </c>
      <c r="B880" s="17" t="n">
        <v>14</v>
      </c>
      <c r="C880" s="17" t="n">
        <v>5</v>
      </c>
      <c r="D880" s="17" t="n">
        <v>2022</v>
      </c>
      <c r="E880" s="18" t="n">
        <v>0.935659722222222</v>
      </c>
      <c r="F880" s="17" t="n">
        <v>1039</v>
      </c>
      <c r="G880" s="17" t="s">
        <v>327</v>
      </c>
      <c r="H880" s="17" t="s">
        <v>84</v>
      </c>
      <c r="I880" s="17" t="s">
        <v>222</v>
      </c>
      <c r="J880" s="17" t="s">
        <v>328</v>
      </c>
      <c r="K880" s="17" t="n">
        <v>36</v>
      </c>
      <c r="L880" s="17" t="s">
        <v>42</v>
      </c>
      <c r="M880" s="17" t="s">
        <v>32</v>
      </c>
      <c r="N880" s="19" t="n">
        <v>5.56</v>
      </c>
      <c r="O880" s="19" t="n">
        <v>200.16</v>
      </c>
      <c r="P880" s="17" t="s">
        <v>33</v>
      </c>
      <c r="Q880" s="20" t="n">
        <f aca="false">DATE(D880,C880,B880)</f>
        <v>44695</v>
      </c>
      <c r="R880" s="17" t="str">
        <f aca="false">IF(HOUR(E880)&lt;6,"Madrugada (0-5 h)",IF(HOUR(E880)&lt;12,"Mañana (6-11 h)",IF(HOUR(E880)&lt;18,"Tarde (12-17 h)","Noche (18-23 h)")))</f>
        <v>Noche (18-23 h)</v>
      </c>
    </row>
    <row r="881" customFormat="false" ht="15" hidden="false" customHeight="false" outlineLevel="0" collapsed="false">
      <c r="A881" s="17" t="n">
        <v>1880</v>
      </c>
      <c r="B881" s="17" t="n">
        <v>13</v>
      </c>
      <c r="C881" s="17" t="n">
        <v>4</v>
      </c>
      <c r="D881" s="17" t="n">
        <v>2022</v>
      </c>
      <c r="E881" s="18" t="n">
        <v>0.939664351851852</v>
      </c>
      <c r="F881" s="17" t="n">
        <v>4371</v>
      </c>
      <c r="G881" s="17" t="s">
        <v>329</v>
      </c>
      <c r="H881" s="17" t="s">
        <v>330</v>
      </c>
      <c r="I881" s="17" t="s">
        <v>331</v>
      </c>
      <c r="J881" s="17" t="s">
        <v>332</v>
      </c>
      <c r="K881" s="17" t="n">
        <v>32</v>
      </c>
      <c r="L881" s="17" t="s">
        <v>81</v>
      </c>
      <c r="M881" s="17" t="s">
        <v>333</v>
      </c>
      <c r="N881" s="19" t="n">
        <v>3.32</v>
      </c>
      <c r="O881" s="19" t="n">
        <v>106.24</v>
      </c>
      <c r="P881" s="17" t="s">
        <v>43</v>
      </c>
      <c r="Q881" s="20" t="n">
        <f aca="false">DATE(D881,C881,B881)</f>
        <v>44664</v>
      </c>
      <c r="R881" s="17" t="str">
        <f aca="false">IF(HOUR(E881)&lt;6,"Madrugada (0-5 h)",IF(HOUR(E881)&lt;12,"Mañana (6-11 h)",IF(HOUR(E881)&lt;18,"Tarde (12-17 h)","Noche (18-23 h)")))</f>
        <v>Noche (18-23 h)</v>
      </c>
    </row>
    <row r="882" customFormat="false" ht="15" hidden="false" customHeight="false" outlineLevel="0" collapsed="false">
      <c r="A882" s="17" t="n">
        <v>1881</v>
      </c>
      <c r="B882" s="17" t="n">
        <v>2</v>
      </c>
      <c r="C882" s="17" t="n">
        <v>12</v>
      </c>
      <c r="D882" s="17" t="n">
        <v>2021</v>
      </c>
      <c r="E882" s="18" t="n">
        <v>0.798946759259259</v>
      </c>
      <c r="F882" s="17" t="n">
        <v>3024</v>
      </c>
      <c r="G882" s="17" t="s">
        <v>334</v>
      </c>
      <c r="H882" s="17" t="s">
        <v>88</v>
      </c>
      <c r="I882" s="17" t="s">
        <v>335</v>
      </c>
      <c r="J882" s="17" t="s">
        <v>336</v>
      </c>
      <c r="K882" s="17" t="n">
        <v>40</v>
      </c>
      <c r="L882" s="17" t="s">
        <v>81</v>
      </c>
      <c r="M882" s="17" t="s">
        <v>333</v>
      </c>
      <c r="N882" s="19" t="n">
        <v>54</v>
      </c>
      <c r="O882" s="19" t="n">
        <v>2160</v>
      </c>
      <c r="P882" s="17" t="s">
        <v>33</v>
      </c>
      <c r="Q882" s="20" t="n">
        <f aca="false">DATE(D882,C882,B882)</f>
        <v>44532</v>
      </c>
      <c r="R882" s="17" t="str">
        <f aca="false">IF(HOUR(E882)&lt;6,"Madrugada (0-5 h)",IF(HOUR(E882)&lt;12,"Mañana (6-11 h)",IF(HOUR(E882)&lt;18,"Tarde (12-17 h)","Noche (18-23 h)")))</f>
        <v>Noche (18-23 h)</v>
      </c>
    </row>
    <row r="883" customFormat="false" ht="15" hidden="false" customHeight="false" outlineLevel="0" collapsed="false">
      <c r="A883" s="17" t="n">
        <v>1882</v>
      </c>
      <c r="B883" s="17" t="n">
        <v>3</v>
      </c>
      <c r="C883" s="17" t="n">
        <v>11</v>
      </c>
      <c r="D883" s="17" t="n">
        <v>2022</v>
      </c>
      <c r="E883" s="18" t="n">
        <v>0.305972222222222</v>
      </c>
      <c r="F883" s="17" t="n">
        <v>3286</v>
      </c>
      <c r="G883" s="17" t="s">
        <v>337</v>
      </c>
      <c r="H883" s="17" t="s">
        <v>338</v>
      </c>
      <c r="I883" s="17" t="s">
        <v>339</v>
      </c>
      <c r="J883" s="17" t="s">
        <v>340</v>
      </c>
      <c r="K883" s="17" t="n">
        <v>50</v>
      </c>
      <c r="L883" s="17" t="s">
        <v>81</v>
      </c>
      <c r="M883" s="17" t="s">
        <v>333</v>
      </c>
      <c r="N883" s="19" t="n">
        <v>13.42</v>
      </c>
      <c r="O883" s="19" t="n">
        <v>671</v>
      </c>
      <c r="P883" s="17" t="s">
        <v>33</v>
      </c>
      <c r="Q883" s="20" t="n">
        <f aca="false">DATE(D883,C883,B883)</f>
        <v>44868</v>
      </c>
      <c r="R883" s="17" t="str">
        <f aca="false">IF(HOUR(E883)&lt;6,"Madrugada (0-5 h)",IF(HOUR(E883)&lt;12,"Mañana (6-11 h)",IF(HOUR(E883)&lt;18,"Tarde (12-17 h)","Noche (18-23 h)")))</f>
        <v>Mañana (6-11 h)</v>
      </c>
    </row>
    <row r="884" customFormat="false" ht="15" hidden="false" customHeight="false" outlineLevel="0" collapsed="false">
      <c r="A884" s="17" t="n">
        <v>1883</v>
      </c>
      <c r="B884" s="17" t="n">
        <v>19</v>
      </c>
      <c r="C884" s="17" t="n">
        <v>5</v>
      </c>
      <c r="D884" s="17" t="n">
        <v>2022</v>
      </c>
      <c r="E884" s="18" t="n">
        <v>0.992025462962963</v>
      </c>
      <c r="F884" s="17" t="n">
        <v>1826</v>
      </c>
      <c r="G884" s="17" t="s">
        <v>341</v>
      </c>
      <c r="H884" s="17" t="s">
        <v>342</v>
      </c>
      <c r="I884" s="17" t="s">
        <v>343</v>
      </c>
      <c r="J884" s="17" t="s">
        <v>344</v>
      </c>
      <c r="K884" s="17" t="n">
        <v>49</v>
      </c>
      <c r="L884" s="17" t="s">
        <v>81</v>
      </c>
      <c r="M884" s="17" t="s">
        <v>333</v>
      </c>
      <c r="N884" s="19" t="n">
        <v>45.04</v>
      </c>
      <c r="O884" s="19" t="n">
        <v>2206.96</v>
      </c>
      <c r="P884" s="17" t="s">
        <v>33</v>
      </c>
      <c r="Q884" s="20" t="n">
        <f aca="false">DATE(D884,C884,B884)</f>
        <v>44700</v>
      </c>
      <c r="R884" s="17" t="str">
        <f aca="false">IF(HOUR(E884)&lt;6,"Madrugada (0-5 h)",IF(HOUR(E884)&lt;12,"Mañana (6-11 h)",IF(HOUR(E884)&lt;18,"Tarde (12-17 h)","Noche (18-23 h)")))</f>
        <v>Noche (18-23 h)</v>
      </c>
    </row>
    <row r="885" customFormat="false" ht="15" hidden="false" customHeight="false" outlineLevel="0" collapsed="false">
      <c r="A885" s="17" t="n">
        <v>1884</v>
      </c>
      <c r="B885" s="17" t="n">
        <v>19</v>
      </c>
      <c r="C885" s="17" t="n">
        <v>12</v>
      </c>
      <c r="D885" s="17" t="n">
        <v>2022</v>
      </c>
      <c r="E885" s="18" t="n">
        <v>0.519247685185185</v>
      </c>
      <c r="F885" s="17" t="n">
        <v>4981</v>
      </c>
      <c r="G885" s="17" t="s">
        <v>345</v>
      </c>
      <c r="H885" s="17" t="s">
        <v>346</v>
      </c>
      <c r="I885" s="17" t="s">
        <v>347</v>
      </c>
      <c r="J885" s="17" t="s">
        <v>348</v>
      </c>
      <c r="K885" s="17" t="n">
        <v>36</v>
      </c>
      <c r="L885" s="17" t="s">
        <v>81</v>
      </c>
      <c r="M885" s="17" t="s">
        <v>32</v>
      </c>
      <c r="N885" s="19" t="n">
        <v>20.05</v>
      </c>
      <c r="O885" s="19" t="n">
        <v>721.8</v>
      </c>
      <c r="P885" s="17" t="s">
        <v>33</v>
      </c>
      <c r="Q885" s="20" t="n">
        <f aca="false">DATE(D885,C885,B885)</f>
        <v>44914</v>
      </c>
      <c r="R885" s="17" t="str">
        <f aca="false">IF(HOUR(E885)&lt;6,"Madrugada (0-5 h)",IF(HOUR(E885)&lt;12,"Mañana (6-11 h)",IF(HOUR(E885)&lt;18,"Tarde (12-17 h)","Noche (18-23 h)")))</f>
        <v>Tarde (12-17 h)</v>
      </c>
    </row>
    <row r="886" customFormat="false" ht="15" hidden="false" customHeight="false" outlineLevel="0" collapsed="false">
      <c r="A886" s="17" t="n">
        <v>1885</v>
      </c>
      <c r="B886" s="17" t="n">
        <v>18</v>
      </c>
      <c r="C886" s="17" t="n">
        <v>6</v>
      </c>
      <c r="D886" s="17" t="n">
        <v>2021</v>
      </c>
      <c r="E886" s="18" t="n">
        <v>0.852094907407408</v>
      </c>
      <c r="F886" s="17" t="n">
        <v>2780</v>
      </c>
      <c r="G886" s="17" t="s">
        <v>349</v>
      </c>
      <c r="H886" s="17" t="s">
        <v>350</v>
      </c>
      <c r="I886" s="17" t="s">
        <v>351</v>
      </c>
      <c r="J886" s="17" t="s">
        <v>352</v>
      </c>
      <c r="K886" s="17" t="n">
        <v>9</v>
      </c>
      <c r="L886" s="17" t="s">
        <v>81</v>
      </c>
      <c r="M886" s="17" t="s">
        <v>32</v>
      </c>
      <c r="N886" s="19" t="n">
        <v>7.98</v>
      </c>
      <c r="O886" s="19" t="n">
        <v>71.82</v>
      </c>
      <c r="P886" s="17" t="s">
        <v>43</v>
      </c>
      <c r="Q886" s="20" t="n">
        <f aca="false">DATE(D886,C886,B886)</f>
        <v>44365</v>
      </c>
      <c r="R886" s="17" t="str">
        <f aca="false">IF(HOUR(E886)&lt;6,"Madrugada (0-5 h)",IF(HOUR(E886)&lt;12,"Mañana (6-11 h)",IF(HOUR(E886)&lt;18,"Tarde (12-17 h)","Noche (18-23 h)")))</f>
        <v>Noche (18-23 h)</v>
      </c>
    </row>
    <row r="887" customFormat="false" ht="15" hidden="false" customHeight="false" outlineLevel="0" collapsed="false">
      <c r="A887" s="17" t="n">
        <v>1886</v>
      </c>
      <c r="B887" s="17" t="n">
        <v>1</v>
      </c>
      <c r="C887" s="17" t="n">
        <v>9</v>
      </c>
      <c r="D887" s="17" t="n">
        <v>2022</v>
      </c>
      <c r="E887" s="18" t="n">
        <v>0.745474537037037</v>
      </c>
      <c r="F887" s="17" t="n">
        <v>2068</v>
      </c>
      <c r="G887" s="17" t="s">
        <v>353</v>
      </c>
      <c r="H887" s="17" t="s">
        <v>354</v>
      </c>
      <c r="I887" s="17" t="s">
        <v>355</v>
      </c>
      <c r="J887" s="17" t="s">
        <v>356</v>
      </c>
      <c r="K887" s="17" t="n">
        <v>31</v>
      </c>
      <c r="L887" s="17" t="s">
        <v>125</v>
      </c>
      <c r="M887" s="17" t="s">
        <v>82</v>
      </c>
      <c r="N887" s="19" t="n">
        <v>24.43</v>
      </c>
      <c r="O887" s="19" t="n">
        <v>757.33</v>
      </c>
      <c r="P887" s="17" t="s">
        <v>33</v>
      </c>
      <c r="Q887" s="20" t="n">
        <f aca="false">DATE(D887,C887,B887)</f>
        <v>44805</v>
      </c>
      <c r="R887" s="17" t="str">
        <f aca="false">IF(HOUR(E887)&lt;6,"Madrugada (0-5 h)",IF(HOUR(E887)&lt;12,"Mañana (6-11 h)",IF(HOUR(E887)&lt;18,"Tarde (12-17 h)","Noche (18-23 h)")))</f>
        <v>Tarde (12-17 h)</v>
      </c>
    </row>
    <row r="888" customFormat="false" ht="15" hidden="false" customHeight="false" outlineLevel="0" collapsed="false">
      <c r="A888" s="17" t="n">
        <v>1887</v>
      </c>
      <c r="B888" s="17" t="n">
        <v>7</v>
      </c>
      <c r="C888" s="17" t="n">
        <v>7</v>
      </c>
      <c r="D888" s="17" t="n">
        <v>2022</v>
      </c>
      <c r="E888" s="18" t="n">
        <v>0.794675925925926</v>
      </c>
      <c r="F888" s="17" t="n">
        <v>1814</v>
      </c>
      <c r="G888" s="17" t="s">
        <v>357</v>
      </c>
      <c r="H888" s="17" t="s">
        <v>358</v>
      </c>
      <c r="I888" s="17" t="s">
        <v>359</v>
      </c>
      <c r="J888" s="17" t="s">
        <v>360</v>
      </c>
      <c r="K888" s="17" t="n">
        <v>32</v>
      </c>
      <c r="L888" s="17" t="s">
        <v>81</v>
      </c>
      <c r="M888" s="17" t="s">
        <v>76</v>
      </c>
      <c r="N888" s="19" t="n">
        <v>6.3</v>
      </c>
      <c r="O888" s="19" t="n">
        <v>201.6</v>
      </c>
      <c r="P888" s="17" t="s">
        <v>33</v>
      </c>
      <c r="Q888" s="20" t="n">
        <f aca="false">DATE(D888,C888,B888)</f>
        <v>44749</v>
      </c>
      <c r="R888" s="17" t="str">
        <f aca="false">IF(HOUR(E888)&lt;6,"Madrugada (0-5 h)",IF(HOUR(E888)&lt;12,"Mañana (6-11 h)",IF(HOUR(E888)&lt;18,"Tarde (12-17 h)","Noche (18-23 h)")))</f>
        <v>Noche (18-23 h)</v>
      </c>
    </row>
    <row r="889" customFormat="false" ht="15" hidden="false" customHeight="false" outlineLevel="0" collapsed="false">
      <c r="A889" s="17" t="n">
        <v>1888</v>
      </c>
      <c r="B889" s="17" t="n">
        <v>22</v>
      </c>
      <c r="C889" s="17" t="n">
        <v>11</v>
      </c>
      <c r="D889" s="17" t="n">
        <v>2021</v>
      </c>
      <c r="E889" s="18" t="n">
        <v>0.693645833333333</v>
      </c>
      <c r="F889" s="17" t="n">
        <v>2184</v>
      </c>
      <c r="G889" s="17" t="s">
        <v>361</v>
      </c>
      <c r="H889" s="17" t="s">
        <v>481</v>
      </c>
      <c r="I889" s="17" t="s">
        <v>363</v>
      </c>
      <c r="J889" s="17" t="s">
        <v>364</v>
      </c>
      <c r="K889" s="17" t="n">
        <v>2</v>
      </c>
      <c r="L889" s="17" t="s">
        <v>81</v>
      </c>
      <c r="M889" s="17" t="s">
        <v>76</v>
      </c>
      <c r="N889" s="19" t="n">
        <v>1.89</v>
      </c>
      <c r="O889" s="19" t="n">
        <v>3.78</v>
      </c>
      <c r="P889" s="17" t="s">
        <v>33</v>
      </c>
      <c r="Q889" s="20" t="n">
        <f aca="false">DATE(D889,C889,B889)</f>
        <v>44522</v>
      </c>
      <c r="R889" s="17" t="str">
        <f aca="false">IF(HOUR(E889)&lt;6,"Madrugada (0-5 h)",IF(HOUR(E889)&lt;12,"Mañana (6-11 h)",IF(HOUR(E889)&lt;18,"Tarde (12-17 h)","Noche (18-23 h)")))</f>
        <v>Tarde (12-17 h)</v>
      </c>
    </row>
    <row r="890" customFormat="false" ht="15" hidden="false" customHeight="false" outlineLevel="0" collapsed="false">
      <c r="A890" s="17" t="n">
        <v>1889</v>
      </c>
      <c r="B890" s="17" t="n">
        <v>28</v>
      </c>
      <c r="C890" s="17" t="n">
        <v>10</v>
      </c>
      <c r="D890" s="17" t="n">
        <v>2022</v>
      </c>
      <c r="E890" s="18" t="n">
        <v>0.455451388888889</v>
      </c>
      <c r="F890" s="17" t="n">
        <v>1965</v>
      </c>
      <c r="G890" s="17" t="s">
        <v>365</v>
      </c>
      <c r="H890" s="17" t="s">
        <v>366</v>
      </c>
      <c r="I890" s="17" t="s">
        <v>367</v>
      </c>
      <c r="J890" s="17" t="s">
        <v>368</v>
      </c>
      <c r="K890" s="17" t="n">
        <v>45</v>
      </c>
      <c r="L890" s="17" t="s">
        <v>81</v>
      </c>
      <c r="M890" s="17" t="s">
        <v>32</v>
      </c>
      <c r="N890" s="19" t="n">
        <v>2.3</v>
      </c>
      <c r="O890" s="19" t="n">
        <v>103.5</v>
      </c>
      <c r="P890" s="17" t="s">
        <v>33</v>
      </c>
      <c r="Q890" s="20" t="n">
        <f aca="false">DATE(D890,C890,B890)</f>
        <v>44862</v>
      </c>
      <c r="R890" s="17" t="str">
        <f aca="false">IF(HOUR(E890)&lt;6,"Madrugada (0-5 h)",IF(HOUR(E890)&lt;12,"Mañana (6-11 h)",IF(HOUR(E890)&lt;18,"Tarde (12-17 h)","Noche (18-23 h)")))</f>
        <v>Mañana (6-11 h)</v>
      </c>
    </row>
    <row r="891" customFormat="false" ht="15" hidden="false" customHeight="false" outlineLevel="0" collapsed="false">
      <c r="A891" s="17" t="n">
        <v>1890</v>
      </c>
      <c r="B891" s="17" t="n">
        <v>13</v>
      </c>
      <c r="C891" s="17" t="n">
        <v>6</v>
      </c>
      <c r="D891" s="17" t="n">
        <v>2021</v>
      </c>
      <c r="E891" s="18" t="n">
        <v>0.479305555555556</v>
      </c>
      <c r="F891" s="17" t="n">
        <v>2726</v>
      </c>
      <c r="G891" s="17" t="s">
        <v>369</v>
      </c>
      <c r="H891" s="17" t="s">
        <v>370</v>
      </c>
      <c r="I891" s="17" t="s">
        <v>371</v>
      </c>
      <c r="J891" s="17" t="s">
        <v>372</v>
      </c>
      <c r="K891" s="17" t="n">
        <v>7</v>
      </c>
      <c r="L891" s="17" t="s">
        <v>81</v>
      </c>
      <c r="M891" s="17" t="s">
        <v>32</v>
      </c>
      <c r="N891" s="19" t="n">
        <v>6.76</v>
      </c>
      <c r="O891" s="19" t="n">
        <v>47.32</v>
      </c>
      <c r="P891" s="17" t="s">
        <v>33</v>
      </c>
      <c r="Q891" s="20" t="n">
        <f aca="false">DATE(D891,C891,B891)</f>
        <v>44360</v>
      </c>
      <c r="R891" s="17" t="str">
        <f aca="false">IF(HOUR(E891)&lt;6,"Madrugada (0-5 h)",IF(HOUR(E891)&lt;12,"Mañana (6-11 h)",IF(HOUR(E891)&lt;18,"Tarde (12-17 h)","Noche (18-23 h)")))</f>
        <v>Mañana (6-11 h)</v>
      </c>
    </row>
    <row r="892" customFormat="false" ht="15" hidden="false" customHeight="false" outlineLevel="0" collapsed="false">
      <c r="A892" s="17" t="n">
        <v>1891</v>
      </c>
      <c r="B892" s="17" t="n">
        <v>23</v>
      </c>
      <c r="C892" s="17" t="n">
        <v>7</v>
      </c>
      <c r="D892" s="17" t="n">
        <v>2021</v>
      </c>
      <c r="E892" s="18" t="n">
        <v>0.0359375</v>
      </c>
      <c r="F892" s="17" t="n">
        <v>2276</v>
      </c>
      <c r="G892" s="17" t="s">
        <v>373</v>
      </c>
      <c r="H892" s="17" t="s">
        <v>374</v>
      </c>
      <c r="I892" s="17" t="s">
        <v>375</v>
      </c>
      <c r="J892" s="17" t="s">
        <v>376</v>
      </c>
      <c r="K892" s="17" t="n">
        <v>41</v>
      </c>
      <c r="L892" s="17" t="s">
        <v>81</v>
      </c>
      <c r="M892" s="17" t="s">
        <v>32</v>
      </c>
      <c r="N892" s="19" t="n">
        <v>7.3</v>
      </c>
      <c r="O892" s="19" t="n">
        <v>299.3</v>
      </c>
      <c r="P892" s="17" t="s">
        <v>43</v>
      </c>
      <c r="Q892" s="20" t="n">
        <f aca="false">DATE(D892,C892,B892)</f>
        <v>44400</v>
      </c>
      <c r="R892" s="17" t="str">
        <f aca="false">IF(HOUR(E892)&lt;6,"Madrugada (0-5 h)",IF(HOUR(E892)&lt;12,"Mañana (6-11 h)",IF(HOUR(E892)&lt;18,"Tarde (12-17 h)","Noche (18-23 h)")))</f>
        <v>Madrugada (0-5 h)</v>
      </c>
    </row>
    <row r="893" customFormat="false" ht="15" hidden="false" customHeight="false" outlineLevel="0" collapsed="false">
      <c r="A893" s="17" t="n">
        <v>1892</v>
      </c>
      <c r="B893" s="17" t="n">
        <v>1</v>
      </c>
      <c r="C893" s="17" t="n">
        <v>4</v>
      </c>
      <c r="D893" s="17" t="n">
        <v>2021</v>
      </c>
      <c r="E893" s="18" t="n">
        <v>0.279305555555556</v>
      </c>
      <c r="F893" s="17" t="n">
        <v>3888</v>
      </c>
      <c r="G893" s="17" t="s">
        <v>377</v>
      </c>
      <c r="H893" s="17" t="s">
        <v>137</v>
      </c>
      <c r="I893" s="17" t="s">
        <v>482</v>
      </c>
      <c r="J893" s="17" t="s">
        <v>379</v>
      </c>
      <c r="K893" s="17" t="n">
        <v>27</v>
      </c>
      <c r="L893" s="17" t="s">
        <v>81</v>
      </c>
      <c r="M893" s="17" t="s">
        <v>32</v>
      </c>
      <c r="N893" s="19" t="n">
        <v>6.3</v>
      </c>
      <c r="O893" s="19" t="n">
        <v>170.1</v>
      </c>
      <c r="P893" s="17" t="s">
        <v>33</v>
      </c>
      <c r="Q893" s="20" t="n">
        <f aca="false">DATE(D893,C893,B893)</f>
        <v>44287</v>
      </c>
      <c r="R893" s="17" t="str">
        <f aca="false">IF(HOUR(E893)&lt;6,"Madrugada (0-5 h)",IF(HOUR(E893)&lt;12,"Mañana (6-11 h)",IF(HOUR(E893)&lt;18,"Tarde (12-17 h)","Noche (18-23 h)")))</f>
        <v>Mañana (6-11 h)</v>
      </c>
    </row>
    <row r="894" customFormat="false" ht="15" hidden="false" customHeight="false" outlineLevel="0" collapsed="false">
      <c r="A894" s="17" t="n">
        <v>1893</v>
      </c>
      <c r="B894" s="17" t="n">
        <v>24</v>
      </c>
      <c r="C894" s="17" t="n">
        <v>11</v>
      </c>
      <c r="D894" s="17" t="n">
        <v>2022</v>
      </c>
      <c r="E894" s="18" t="n">
        <v>0.977905092592593</v>
      </c>
      <c r="F894" s="17" t="n">
        <v>2650</v>
      </c>
      <c r="G894" s="17" t="s">
        <v>380</v>
      </c>
      <c r="H894" s="17" t="s">
        <v>333</v>
      </c>
      <c r="I894" s="17" t="s">
        <v>381</v>
      </c>
      <c r="J894" s="17" t="s">
        <v>382</v>
      </c>
      <c r="K894" s="17" t="n">
        <v>35</v>
      </c>
      <c r="L894" s="17" t="s">
        <v>81</v>
      </c>
      <c r="M894" s="17" t="s">
        <v>76</v>
      </c>
      <c r="N894" s="19" t="n">
        <v>5.23</v>
      </c>
      <c r="O894" s="19" t="n">
        <v>183.05</v>
      </c>
      <c r="P894" s="17" t="s">
        <v>33</v>
      </c>
      <c r="Q894" s="20" t="n">
        <f aca="false">DATE(D894,C894,B894)</f>
        <v>44889</v>
      </c>
      <c r="R894" s="17" t="str">
        <f aca="false">IF(HOUR(E894)&lt;6,"Madrugada (0-5 h)",IF(HOUR(E894)&lt;12,"Mañana (6-11 h)",IF(HOUR(E894)&lt;18,"Tarde (12-17 h)","Noche (18-23 h)")))</f>
        <v>Noche (18-23 h)</v>
      </c>
    </row>
    <row r="895" customFormat="false" ht="15" hidden="false" customHeight="false" outlineLevel="0" collapsed="false">
      <c r="A895" s="17" t="n">
        <v>1894</v>
      </c>
      <c r="B895" s="17" t="n">
        <v>16</v>
      </c>
      <c r="C895" s="17" t="n">
        <v>9</v>
      </c>
      <c r="D895" s="17" t="n">
        <v>2021</v>
      </c>
      <c r="E895" s="18" t="n">
        <v>0.309722222222222</v>
      </c>
      <c r="F895" s="17" t="n">
        <v>3877</v>
      </c>
      <c r="G895" s="17" t="s">
        <v>383</v>
      </c>
      <c r="H895" s="17" t="s">
        <v>384</v>
      </c>
      <c r="I895" s="17" t="s">
        <v>385</v>
      </c>
      <c r="J895" s="17" t="s">
        <v>386</v>
      </c>
      <c r="K895" s="17" t="n">
        <v>24</v>
      </c>
      <c r="L895" s="17" t="s">
        <v>31</v>
      </c>
      <c r="M895" s="17" t="s">
        <v>32</v>
      </c>
      <c r="N895" s="19" t="n">
        <v>2.01</v>
      </c>
      <c r="O895" s="19" t="n">
        <v>48.24</v>
      </c>
      <c r="P895" s="17" t="s">
        <v>33</v>
      </c>
      <c r="Q895" s="20" t="n">
        <f aca="false">DATE(D895,C895,B895)</f>
        <v>44455</v>
      </c>
      <c r="R895" s="17" t="str">
        <f aca="false">IF(HOUR(E895)&lt;6,"Madrugada (0-5 h)",IF(HOUR(E895)&lt;12,"Mañana (6-11 h)",IF(HOUR(E895)&lt;18,"Tarde (12-17 h)","Noche (18-23 h)")))</f>
        <v>Mañana (6-11 h)</v>
      </c>
    </row>
    <row r="896" customFormat="false" ht="15" hidden="false" customHeight="false" outlineLevel="0" collapsed="false">
      <c r="A896" s="17" t="n">
        <v>1895</v>
      </c>
      <c r="B896" s="17" t="n">
        <v>14</v>
      </c>
      <c r="C896" s="17" t="n">
        <v>1</v>
      </c>
      <c r="D896" s="17" t="n">
        <v>2021</v>
      </c>
      <c r="E896" s="18" t="n">
        <v>0.355497685185185</v>
      </c>
      <c r="F896" s="17" t="n">
        <v>1971</v>
      </c>
      <c r="G896" s="17" t="s">
        <v>387</v>
      </c>
      <c r="H896" s="17" t="s">
        <v>483</v>
      </c>
      <c r="I896" s="17" t="s">
        <v>389</v>
      </c>
      <c r="J896" s="17" t="s">
        <v>390</v>
      </c>
      <c r="K896" s="17" t="n">
        <v>33</v>
      </c>
      <c r="L896" s="17" t="s">
        <v>61</v>
      </c>
      <c r="M896" s="17" t="s">
        <v>32</v>
      </c>
      <c r="N896" s="19" t="n">
        <v>14.37</v>
      </c>
      <c r="O896" s="19" t="n">
        <v>474.21</v>
      </c>
      <c r="P896" s="17" t="s">
        <v>33</v>
      </c>
      <c r="Q896" s="20" t="n">
        <f aca="false">DATE(D896,C896,B896)</f>
        <v>44210</v>
      </c>
      <c r="R896" s="17" t="str">
        <f aca="false">IF(HOUR(E896)&lt;6,"Madrugada (0-5 h)",IF(HOUR(E896)&lt;12,"Mañana (6-11 h)",IF(HOUR(E896)&lt;18,"Tarde (12-17 h)","Noche (18-23 h)")))</f>
        <v>Mañana (6-11 h)</v>
      </c>
    </row>
    <row r="897" customFormat="false" ht="15" hidden="false" customHeight="false" outlineLevel="0" collapsed="false">
      <c r="A897" s="17" t="n">
        <v>1896</v>
      </c>
      <c r="B897" s="17" t="n">
        <v>17</v>
      </c>
      <c r="C897" s="17" t="n">
        <v>12</v>
      </c>
      <c r="D897" s="17" t="n">
        <v>2021</v>
      </c>
      <c r="E897" s="18" t="n">
        <v>0.211851851851852</v>
      </c>
      <c r="F897" s="17" t="n">
        <v>1392</v>
      </c>
      <c r="G897" s="17" t="s">
        <v>391</v>
      </c>
      <c r="H897" s="17" t="s">
        <v>392</v>
      </c>
      <c r="I897" s="17" t="s">
        <v>393</v>
      </c>
      <c r="J897" s="17" t="s">
        <v>394</v>
      </c>
      <c r="K897" s="17" t="n">
        <v>19</v>
      </c>
      <c r="L897" s="17" t="s">
        <v>61</v>
      </c>
      <c r="M897" s="17" t="s">
        <v>32</v>
      </c>
      <c r="N897" s="19" t="n">
        <v>2.03</v>
      </c>
      <c r="O897" s="19" t="n">
        <v>38.57</v>
      </c>
      <c r="P897" s="17" t="s">
        <v>33</v>
      </c>
      <c r="Q897" s="20" t="n">
        <f aca="false">DATE(D897,C897,B897)</f>
        <v>44547</v>
      </c>
      <c r="R897" s="17" t="str">
        <f aca="false">IF(HOUR(E897)&lt;6,"Madrugada (0-5 h)",IF(HOUR(E897)&lt;12,"Mañana (6-11 h)",IF(HOUR(E897)&lt;18,"Tarde (12-17 h)","Noche (18-23 h)")))</f>
        <v>Madrugada (0-5 h)</v>
      </c>
    </row>
    <row r="898" customFormat="false" ht="15" hidden="false" customHeight="false" outlineLevel="0" collapsed="false">
      <c r="A898" s="17" t="n">
        <v>1897</v>
      </c>
      <c r="B898" s="17" t="n">
        <v>21</v>
      </c>
      <c r="C898" s="17" t="n">
        <v>6</v>
      </c>
      <c r="D898" s="17" t="n">
        <v>2021</v>
      </c>
      <c r="E898" s="18" t="n">
        <v>0.637210648148148</v>
      </c>
      <c r="F898" s="17" t="n">
        <v>3949</v>
      </c>
      <c r="G898" s="17" t="s">
        <v>395</v>
      </c>
      <c r="H898" s="17" t="s">
        <v>396</v>
      </c>
      <c r="I898" s="17" t="s">
        <v>397</v>
      </c>
      <c r="J898" s="17" t="s">
        <v>398</v>
      </c>
      <c r="K898" s="17" t="n">
        <v>44</v>
      </c>
      <c r="L898" s="17" t="s">
        <v>61</v>
      </c>
      <c r="M898" s="17" t="s">
        <v>32</v>
      </c>
      <c r="N898" s="19" t="n">
        <v>16.45</v>
      </c>
      <c r="O898" s="19" t="n">
        <v>723.8</v>
      </c>
      <c r="P898" s="17" t="s">
        <v>33</v>
      </c>
      <c r="Q898" s="20" t="n">
        <f aca="false">DATE(D898,C898,B898)</f>
        <v>44368</v>
      </c>
      <c r="R898" s="17" t="str">
        <f aca="false">IF(HOUR(E898)&lt;6,"Madrugada (0-5 h)",IF(HOUR(E898)&lt;12,"Mañana (6-11 h)",IF(HOUR(E898)&lt;18,"Tarde (12-17 h)","Noche (18-23 h)")))</f>
        <v>Tarde (12-17 h)</v>
      </c>
    </row>
    <row r="899" customFormat="false" ht="15" hidden="false" customHeight="false" outlineLevel="0" collapsed="false">
      <c r="A899" s="17" t="n">
        <v>1898</v>
      </c>
      <c r="B899" s="17" t="n">
        <v>17</v>
      </c>
      <c r="C899" s="17" t="n">
        <v>8</v>
      </c>
      <c r="D899" s="17" t="n">
        <v>2021</v>
      </c>
      <c r="E899" s="18" t="n">
        <v>0.367222222222222</v>
      </c>
      <c r="F899" s="17" t="n">
        <v>2018</v>
      </c>
      <c r="G899" s="17" t="s">
        <v>399</v>
      </c>
      <c r="H899" s="17" t="s">
        <v>400</v>
      </c>
      <c r="I899" s="17" t="s">
        <v>401</v>
      </c>
      <c r="J899" s="17" t="s">
        <v>402</v>
      </c>
      <c r="K899" s="17" t="n">
        <v>28</v>
      </c>
      <c r="L899" s="17" t="s">
        <v>98</v>
      </c>
      <c r="M899" s="17" t="s">
        <v>32</v>
      </c>
      <c r="N899" s="19" t="n">
        <v>15.52</v>
      </c>
      <c r="O899" s="19" t="n">
        <v>434.56</v>
      </c>
      <c r="P899" s="17" t="s">
        <v>43</v>
      </c>
      <c r="Q899" s="20" t="n">
        <f aca="false">DATE(D899,C899,B899)</f>
        <v>44425</v>
      </c>
      <c r="R899" s="17" t="str">
        <f aca="false">IF(HOUR(E899)&lt;6,"Madrugada (0-5 h)",IF(HOUR(E899)&lt;12,"Mañana (6-11 h)",IF(HOUR(E899)&lt;18,"Tarde (12-17 h)","Noche (18-23 h)")))</f>
        <v>Mañana (6-11 h)</v>
      </c>
    </row>
    <row r="900" customFormat="false" ht="15" hidden="false" customHeight="false" outlineLevel="0" collapsed="false">
      <c r="A900" s="17" t="n">
        <v>1899</v>
      </c>
      <c r="B900" s="17" t="n">
        <v>5</v>
      </c>
      <c r="C900" s="17" t="n">
        <v>10</v>
      </c>
      <c r="D900" s="17" t="n">
        <v>2022</v>
      </c>
      <c r="E900" s="18" t="n">
        <v>0.864872685185185</v>
      </c>
      <c r="F900" s="17" t="n">
        <v>3238</v>
      </c>
      <c r="G900" s="17" t="s">
        <v>403</v>
      </c>
      <c r="H900" s="17" t="s">
        <v>404</v>
      </c>
      <c r="I900" s="17" t="s">
        <v>405</v>
      </c>
      <c r="J900" s="17" t="s">
        <v>406</v>
      </c>
      <c r="K900" s="17" t="n">
        <v>24</v>
      </c>
      <c r="L900" s="17" t="s">
        <v>31</v>
      </c>
      <c r="M900" s="17" t="s">
        <v>333</v>
      </c>
      <c r="N900" s="19" t="n">
        <v>5.98</v>
      </c>
      <c r="O900" s="19" t="n">
        <v>143.52</v>
      </c>
      <c r="P900" s="17" t="s">
        <v>43</v>
      </c>
      <c r="Q900" s="20" t="n">
        <f aca="false">DATE(D900,C900,B900)</f>
        <v>44839</v>
      </c>
      <c r="R900" s="17" t="str">
        <f aca="false">IF(HOUR(E900)&lt;6,"Madrugada (0-5 h)",IF(HOUR(E900)&lt;12,"Mañana (6-11 h)",IF(HOUR(E900)&lt;18,"Tarde (12-17 h)","Noche (18-23 h)")))</f>
        <v>Noche (18-23 h)</v>
      </c>
    </row>
    <row r="901" customFormat="false" ht="15" hidden="false" customHeight="false" outlineLevel="0" collapsed="false">
      <c r="A901" s="17" t="n">
        <v>1900</v>
      </c>
      <c r="B901" s="17" t="n">
        <v>15</v>
      </c>
      <c r="C901" s="17" t="n">
        <v>8</v>
      </c>
      <c r="D901" s="17" t="n">
        <v>2022</v>
      </c>
      <c r="E901" s="18" t="n">
        <v>0.892627314814815</v>
      </c>
      <c r="F901" s="17" t="n">
        <v>1072</v>
      </c>
      <c r="G901" s="17" t="s">
        <v>407</v>
      </c>
      <c r="H901" s="17" t="s">
        <v>408</v>
      </c>
      <c r="I901" s="17" t="s">
        <v>409</v>
      </c>
      <c r="J901" s="17" t="s">
        <v>410</v>
      </c>
      <c r="K901" s="17" t="n">
        <v>25</v>
      </c>
      <c r="L901" s="17" t="s">
        <v>81</v>
      </c>
      <c r="M901" s="17" t="s">
        <v>333</v>
      </c>
      <c r="N901" s="19" t="n">
        <v>0.5</v>
      </c>
      <c r="O901" s="19" t="n">
        <v>12.5</v>
      </c>
      <c r="P901" s="17" t="s">
        <v>33</v>
      </c>
      <c r="Q901" s="20" t="n">
        <f aca="false">DATE(D901,C901,B901)</f>
        <v>44788</v>
      </c>
      <c r="R901" s="17" t="str">
        <f aca="false">IF(HOUR(E901)&lt;6,"Madrugada (0-5 h)",IF(HOUR(E901)&lt;12,"Mañana (6-11 h)",IF(HOUR(E901)&lt;18,"Tarde (12-17 h)","Noche (18-23 h)")))</f>
        <v>Noche (18-23 h)</v>
      </c>
    </row>
    <row r="902" customFormat="false" ht="15" hidden="false" customHeight="false" outlineLevel="0" collapsed="false">
      <c r="A902" s="17" t="n">
        <v>1901</v>
      </c>
      <c r="B902" s="17" t="n">
        <v>6</v>
      </c>
      <c r="C902" s="17" t="n">
        <v>9</v>
      </c>
      <c r="D902" s="17" t="n">
        <v>2021</v>
      </c>
      <c r="E902" s="18" t="n">
        <v>0.876643518518519</v>
      </c>
      <c r="F902" s="17" t="n">
        <v>4857</v>
      </c>
      <c r="G902" s="17" t="s">
        <v>27</v>
      </c>
      <c r="H902" s="17" t="s">
        <v>28</v>
      </c>
      <c r="I902" s="17" t="s">
        <v>29</v>
      </c>
      <c r="J902" s="17" t="s">
        <v>30</v>
      </c>
      <c r="K902" s="17" t="n">
        <v>21</v>
      </c>
      <c r="L902" s="17" t="s">
        <v>31</v>
      </c>
      <c r="M902" s="17" t="s">
        <v>32</v>
      </c>
      <c r="N902" s="19" t="n">
        <v>3.56</v>
      </c>
      <c r="O902" s="19" t="n">
        <v>74.76</v>
      </c>
      <c r="P902" s="17" t="s">
        <v>33</v>
      </c>
      <c r="Q902" s="20" t="n">
        <f aca="false">DATE(D902,C902,B902)</f>
        <v>44445</v>
      </c>
      <c r="R902" s="17" t="str">
        <f aca="false">IF(HOUR(E902)&lt;6,"Madrugada (0-5 h)",IF(HOUR(E902)&lt;12,"Mañana (6-11 h)",IF(HOUR(E902)&lt;18,"Tarde (12-17 h)","Noche (18-23 h)")))</f>
        <v>Noche (18-23 h)</v>
      </c>
    </row>
    <row r="903" customFormat="false" ht="15" hidden="false" customHeight="false" outlineLevel="0" collapsed="false">
      <c r="A903" s="17" t="n">
        <v>1902</v>
      </c>
      <c r="B903" s="17" t="n">
        <v>18</v>
      </c>
      <c r="C903" s="17" t="n">
        <v>11</v>
      </c>
      <c r="D903" s="17" t="n">
        <v>2021</v>
      </c>
      <c r="E903" s="18" t="n">
        <v>0.216423611111111</v>
      </c>
      <c r="F903" s="17" t="n">
        <v>1800</v>
      </c>
      <c r="G903" s="17" t="s">
        <v>34</v>
      </c>
      <c r="H903" s="17" t="s">
        <v>35</v>
      </c>
      <c r="I903" s="17" t="s">
        <v>36</v>
      </c>
      <c r="J903" s="17" t="s">
        <v>37</v>
      </c>
      <c r="K903" s="17" t="n">
        <v>18</v>
      </c>
      <c r="L903" s="17" t="s">
        <v>31</v>
      </c>
      <c r="M903" s="17" t="s">
        <v>32</v>
      </c>
      <c r="N903" s="19" t="n">
        <v>3.21</v>
      </c>
      <c r="O903" s="19" t="n">
        <v>57.78</v>
      </c>
      <c r="P903" s="17" t="s">
        <v>33</v>
      </c>
      <c r="Q903" s="20" t="n">
        <f aca="false">DATE(D903,C903,B903)</f>
        <v>44518</v>
      </c>
      <c r="R903" s="17" t="str">
        <f aca="false">IF(HOUR(E903)&lt;6,"Madrugada (0-5 h)",IF(HOUR(E903)&lt;12,"Mañana (6-11 h)",IF(HOUR(E903)&lt;18,"Tarde (12-17 h)","Noche (18-23 h)")))</f>
        <v>Madrugada (0-5 h)</v>
      </c>
    </row>
    <row r="904" customFormat="false" ht="15" hidden="false" customHeight="false" outlineLevel="0" collapsed="false">
      <c r="A904" s="17" t="n">
        <v>1903</v>
      </c>
      <c r="B904" s="17" t="n">
        <v>17</v>
      </c>
      <c r="C904" s="17" t="n">
        <v>12</v>
      </c>
      <c r="D904" s="17" t="n">
        <v>2022</v>
      </c>
      <c r="E904" s="18" t="n">
        <v>0.0346180555555556</v>
      </c>
      <c r="F904" s="17" t="n">
        <v>2261</v>
      </c>
      <c r="G904" s="17" t="s">
        <v>38</v>
      </c>
      <c r="H904" s="17" t="s">
        <v>484</v>
      </c>
      <c r="I904" s="17" t="s">
        <v>40</v>
      </c>
      <c r="J904" s="17" t="s">
        <v>41</v>
      </c>
      <c r="K904" s="17" t="n">
        <v>13</v>
      </c>
      <c r="L904" s="17" t="s">
        <v>42</v>
      </c>
      <c r="M904" s="17" t="s">
        <v>32</v>
      </c>
      <c r="N904" s="19" t="n">
        <v>12.36</v>
      </c>
      <c r="O904" s="19" t="n">
        <v>160.68</v>
      </c>
      <c r="P904" s="17" t="s">
        <v>43</v>
      </c>
      <c r="Q904" s="20" t="n">
        <f aca="false">DATE(D904,C904,B904)</f>
        <v>44912</v>
      </c>
      <c r="R904" s="17" t="str">
        <f aca="false">IF(HOUR(E904)&lt;6,"Madrugada (0-5 h)",IF(HOUR(E904)&lt;12,"Mañana (6-11 h)",IF(HOUR(E904)&lt;18,"Tarde (12-17 h)","Noche (18-23 h)")))</f>
        <v>Madrugada (0-5 h)</v>
      </c>
    </row>
    <row r="905" customFormat="false" ht="15" hidden="false" customHeight="false" outlineLevel="0" collapsed="false">
      <c r="A905" s="17" t="n">
        <v>1904</v>
      </c>
      <c r="B905" s="17" t="n">
        <v>11</v>
      </c>
      <c r="C905" s="17" t="n">
        <v>8</v>
      </c>
      <c r="D905" s="17" t="n">
        <v>2021</v>
      </c>
      <c r="E905" s="18" t="n">
        <v>0.432638888888889</v>
      </c>
      <c r="F905" s="17" t="n">
        <v>4747</v>
      </c>
      <c r="G905" s="17" t="s">
        <v>44</v>
      </c>
      <c r="H905" s="17" t="s">
        <v>45</v>
      </c>
      <c r="I905" s="17" t="s">
        <v>46</v>
      </c>
      <c r="J905" s="17" t="s">
        <v>47</v>
      </c>
      <c r="K905" s="17" t="n">
        <v>29</v>
      </c>
      <c r="L905" s="17" t="s">
        <v>31</v>
      </c>
      <c r="M905" s="17" t="s">
        <v>48</v>
      </c>
      <c r="N905" s="19" t="n">
        <v>10.03</v>
      </c>
      <c r="O905" s="19" t="n">
        <v>290.87</v>
      </c>
      <c r="P905" s="17" t="s">
        <v>33</v>
      </c>
      <c r="Q905" s="20" t="n">
        <f aca="false">DATE(D905,C905,B905)</f>
        <v>44419</v>
      </c>
      <c r="R905" s="17" t="str">
        <f aca="false">IF(HOUR(E905)&lt;6,"Madrugada (0-5 h)",IF(HOUR(E905)&lt;12,"Mañana (6-11 h)",IF(HOUR(E905)&lt;18,"Tarde (12-17 h)","Noche (18-23 h)")))</f>
        <v>Mañana (6-11 h)</v>
      </c>
    </row>
    <row r="906" customFormat="false" ht="15" hidden="false" customHeight="false" outlineLevel="0" collapsed="false">
      <c r="A906" s="17" t="n">
        <v>1905</v>
      </c>
      <c r="B906" s="17" t="n">
        <v>26</v>
      </c>
      <c r="C906" s="17" t="n">
        <v>8</v>
      </c>
      <c r="D906" s="17" t="n">
        <v>2021</v>
      </c>
      <c r="E906" s="18" t="n">
        <v>0.363622685185185</v>
      </c>
      <c r="F906" s="17" t="n">
        <v>2566</v>
      </c>
      <c r="G906" s="17" t="s">
        <v>49</v>
      </c>
      <c r="H906" s="17" t="s">
        <v>50</v>
      </c>
      <c r="I906" s="17" t="s">
        <v>51</v>
      </c>
      <c r="J906" s="17" t="s">
        <v>52</v>
      </c>
      <c r="K906" s="17" t="n">
        <v>13</v>
      </c>
      <c r="L906" s="17" t="s">
        <v>31</v>
      </c>
      <c r="M906" s="17" t="s">
        <v>48</v>
      </c>
      <c r="N906" s="19" t="n">
        <v>16.05</v>
      </c>
      <c r="O906" s="19" t="n">
        <v>208.65</v>
      </c>
      <c r="P906" s="17" t="s">
        <v>33</v>
      </c>
      <c r="Q906" s="20" t="n">
        <f aca="false">DATE(D906,C906,B906)</f>
        <v>44434</v>
      </c>
      <c r="R906" s="17" t="str">
        <f aca="false">IF(HOUR(E906)&lt;6,"Madrugada (0-5 h)",IF(HOUR(E906)&lt;12,"Mañana (6-11 h)",IF(HOUR(E906)&lt;18,"Tarde (12-17 h)","Noche (18-23 h)")))</f>
        <v>Mañana (6-11 h)</v>
      </c>
    </row>
    <row r="907" customFormat="false" ht="15" hidden="false" customHeight="false" outlineLevel="0" collapsed="false">
      <c r="A907" s="17" t="n">
        <v>1906</v>
      </c>
      <c r="B907" s="17" t="n">
        <v>14</v>
      </c>
      <c r="C907" s="17" t="n">
        <v>11</v>
      </c>
      <c r="D907" s="17" t="n">
        <v>2021</v>
      </c>
      <c r="E907" s="18" t="n">
        <v>0.00938657407407407</v>
      </c>
      <c r="F907" s="17" t="n">
        <v>2962</v>
      </c>
      <c r="G907" s="17" t="s">
        <v>53</v>
      </c>
      <c r="H907" s="17" t="s">
        <v>54</v>
      </c>
      <c r="I907" s="17" t="s">
        <v>55</v>
      </c>
      <c r="J907" s="17" t="s">
        <v>56</v>
      </c>
      <c r="K907" s="17" t="n">
        <v>13</v>
      </c>
      <c r="L907" s="17" t="s">
        <v>31</v>
      </c>
      <c r="M907" s="17" t="s">
        <v>48</v>
      </c>
      <c r="N907" s="19" t="n">
        <v>16.5</v>
      </c>
      <c r="O907" s="19" t="n">
        <v>214.5</v>
      </c>
      <c r="P907" s="17" t="s">
        <v>33</v>
      </c>
      <c r="Q907" s="20" t="n">
        <f aca="false">DATE(D907,C907,B907)</f>
        <v>44514</v>
      </c>
      <c r="R907" s="17" t="str">
        <f aca="false">IF(HOUR(E907)&lt;6,"Madrugada (0-5 h)",IF(HOUR(E907)&lt;12,"Mañana (6-11 h)",IF(HOUR(E907)&lt;18,"Tarde (12-17 h)","Noche (18-23 h)")))</f>
        <v>Madrugada (0-5 h)</v>
      </c>
    </row>
    <row r="908" customFormat="false" ht="15" hidden="false" customHeight="false" outlineLevel="0" collapsed="false">
      <c r="A908" s="17" t="n">
        <v>1907</v>
      </c>
      <c r="B908" s="17" t="n">
        <v>17</v>
      </c>
      <c r="C908" s="17" t="n">
        <v>9</v>
      </c>
      <c r="D908" s="17" t="n">
        <v>2022</v>
      </c>
      <c r="E908" s="18" t="n">
        <v>0.145775462962963</v>
      </c>
      <c r="F908" s="17" t="n">
        <v>1160</v>
      </c>
      <c r="G908" s="17" t="s">
        <v>57</v>
      </c>
      <c r="H908" s="17" t="s">
        <v>58</v>
      </c>
      <c r="I908" s="17" t="s">
        <v>59</v>
      </c>
      <c r="J908" s="17" t="s">
        <v>60</v>
      </c>
      <c r="K908" s="17" t="n">
        <v>50</v>
      </c>
      <c r="L908" s="17" t="s">
        <v>61</v>
      </c>
      <c r="M908" s="17" t="s">
        <v>62</v>
      </c>
      <c r="N908" s="19" t="n">
        <v>4.13</v>
      </c>
      <c r="O908" s="19" t="n">
        <v>206.5</v>
      </c>
      <c r="P908" s="17" t="s">
        <v>43</v>
      </c>
      <c r="Q908" s="20" t="n">
        <f aca="false">DATE(D908,C908,B908)</f>
        <v>44821</v>
      </c>
      <c r="R908" s="17" t="str">
        <f aca="false">IF(HOUR(E908)&lt;6,"Madrugada (0-5 h)",IF(HOUR(E908)&lt;12,"Mañana (6-11 h)",IF(HOUR(E908)&lt;18,"Tarde (12-17 h)","Noche (18-23 h)")))</f>
        <v>Madrugada (0-5 h)</v>
      </c>
    </row>
    <row r="909" customFormat="false" ht="15" hidden="false" customHeight="false" outlineLevel="0" collapsed="false">
      <c r="A909" s="17" t="n">
        <v>1908</v>
      </c>
      <c r="B909" s="17" t="n">
        <v>12</v>
      </c>
      <c r="C909" s="17" t="n">
        <v>11</v>
      </c>
      <c r="D909" s="17" t="n">
        <v>2022</v>
      </c>
      <c r="E909" s="18" t="n">
        <v>0.338958333333333</v>
      </c>
      <c r="F909" s="17" t="n">
        <v>2692</v>
      </c>
      <c r="G909" s="17" t="s">
        <v>63</v>
      </c>
      <c r="H909" s="17" t="s">
        <v>64</v>
      </c>
      <c r="I909" s="17" t="s">
        <v>65</v>
      </c>
      <c r="J909" s="17" t="s">
        <v>66</v>
      </c>
      <c r="K909" s="17" t="n">
        <v>34</v>
      </c>
      <c r="L909" s="17" t="s">
        <v>61</v>
      </c>
      <c r="M909" s="17" t="s">
        <v>32</v>
      </c>
      <c r="N909" s="19" t="n">
        <v>11.5</v>
      </c>
      <c r="O909" s="19" t="n">
        <v>391</v>
      </c>
      <c r="P909" s="17" t="s">
        <v>33</v>
      </c>
      <c r="Q909" s="20" t="n">
        <f aca="false">DATE(D909,C909,B909)</f>
        <v>44877</v>
      </c>
      <c r="R909" s="17" t="str">
        <f aca="false">IF(HOUR(E909)&lt;6,"Madrugada (0-5 h)",IF(HOUR(E909)&lt;12,"Mañana (6-11 h)",IF(HOUR(E909)&lt;18,"Tarde (12-17 h)","Noche (18-23 h)")))</f>
        <v>Mañana (6-11 h)</v>
      </c>
    </row>
    <row r="910" customFormat="false" ht="15" hidden="false" customHeight="false" outlineLevel="0" collapsed="false">
      <c r="A910" s="17" t="n">
        <v>1909</v>
      </c>
      <c r="B910" s="17" t="n">
        <v>23</v>
      </c>
      <c r="C910" s="17" t="n">
        <v>11</v>
      </c>
      <c r="D910" s="17" t="n">
        <v>2021</v>
      </c>
      <c r="E910" s="18" t="n">
        <v>0.675509259259259</v>
      </c>
      <c r="F910" s="17" t="n">
        <v>4952</v>
      </c>
      <c r="G910" s="17" t="s">
        <v>67</v>
      </c>
      <c r="H910" s="17" t="s">
        <v>68</v>
      </c>
      <c r="I910" s="17" t="s">
        <v>69</v>
      </c>
      <c r="J910" s="17" t="s">
        <v>70</v>
      </c>
      <c r="K910" s="17" t="n">
        <v>21</v>
      </c>
      <c r="L910" s="17" t="s">
        <v>31</v>
      </c>
      <c r="M910" s="17" t="s">
        <v>71</v>
      </c>
      <c r="N910" s="19" t="n">
        <v>5.5</v>
      </c>
      <c r="O910" s="19" t="n">
        <v>115.5</v>
      </c>
      <c r="P910" s="17" t="s">
        <v>33</v>
      </c>
      <c r="Q910" s="20" t="n">
        <f aca="false">DATE(D910,C910,B910)</f>
        <v>44523</v>
      </c>
      <c r="R910" s="17" t="str">
        <f aca="false">IF(HOUR(E910)&lt;6,"Madrugada (0-5 h)",IF(HOUR(E910)&lt;12,"Mañana (6-11 h)",IF(HOUR(E910)&lt;18,"Tarde (12-17 h)","Noche (18-23 h)")))</f>
        <v>Tarde (12-17 h)</v>
      </c>
    </row>
    <row r="911" customFormat="false" ht="15" hidden="false" customHeight="false" outlineLevel="0" collapsed="false">
      <c r="A911" s="17" t="n">
        <v>1910</v>
      </c>
      <c r="B911" s="17" t="n">
        <v>23</v>
      </c>
      <c r="C911" s="17" t="n">
        <v>9</v>
      </c>
      <c r="D911" s="17" t="n">
        <v>2022</v>
      </c>
      <c r="E911" s="18" t="n">
        <v>0.67318287037037</v>
      </c>
      <c r="F911" s="17" t="n">
        <v>3058</v>
      </c>
      <c r="G911" s="17" t="s">
        <v>72</v>
      </c>
      <c r="H911" s="17" t="s">
        <v>73</v>
      </c>
      <c r="I911" s="17" t="s">
        <v>74</v>
      </c>
      <c r="J911" s="17" t="s">
        <v>75</v>
      </c>
      <c r="K911" s="17" t="n">
        <v>48</v>
      </c>
      <c r="L911" s="17" t="s">
        <v>61</v>
      </c>
      <c r="M911" s="17" t="s">
        <v>76</v>
      </c>
      <c r="N911" s="19" t="n">
        <v>13.71</v>
      </c>
      <c r="O911" s="19" t="n">
        <v>658.08</v>
      </c>
      <c r="P911" s="17" t="s">
        <v>33</v>
      </c>
      <c r="Q911" s="20" t="n">
        <f aca="false">DATE(D911,C911,B911)</f>
        <v>44827</v>
      </c>
      <c r="R911" s="17" t="str">
        <f aca="false">IF(HOUR(E911)&lt;6,"Madrugada (0-5 h)",IF(HOUR(E911)&lt;12,"Mañana (6-11 h)",IF(HOUR(E911)&lt;18,"Tarde (12-17 h)","Noche (18-23 h)")))</f>
        <v>Tarde (12-17 h)</v>
      </c>
    </row>
    <row r="912" customFormat="false" ht="15" hidden="false" customHeight="false" outlineLevel="0" collapsed="false">
      <c r="A912" s="17" t="n">
        <v>1911</v>
      </c>
      <c r="B912" s="17" t="n">
        <v>22</v>
      </c>
      <c r="C912" s="17" t="n">
        <v>5</v>
      </c>
      <c r="D912" s="17" t="n">
        <v>2021</v>
      </c>
      <c r="E912" s="18" t="n">
        <v>0.648958333333333</v>
      </c>
      <c r="F912" s="17" t="n">
        <v>3185</v>
      </c>
      <c r="G912" s="17" t="s">
        <v>77</v>
      </c>
      <c r="H912" s="17" t="s">
        <v>78</v>
      </c>
      <c r="I912" s="17" t="s">
        <v>79</v>
      </c>
      <c r="J912" s="17" t="s">
        <v>80</v>
      </c>
      <c r="K912" s="17" t="n">
        <v>50</v>
      </c>
      <c r="L912" s="17" t="s">
        <v>412</v>
      </c>
      <c r="M912" s="17" t="s">
        <v>82</v>
      </c>
      <c r="N912" s="19" t="n">
        <v>7.89</v>
      </c>
      <c r="O912" s="19" t="n">
        <v>394.5</v>
      </c>
      <c r="P912" s="17" t="s">
        <v>33</v>
      </c>
      <c r="Q912" s="20" t="n">
        <f aca="false">DATE(D912,C912,B912)</f>
        <v>44338</v>
      </c>
      <c r="R912" s="17" t="str">
        <f aca="false">IF(HOUR(E912)&lt;6,"Madrugada (0-5 h)",IF(HOUR(E912)&lt;12,"Mañana (6-11 h)",IF(HOUR(E912)&lt;18,"Tarde (12-17 h)","Noche (18-23 h)")))</f>
        <v>Tarde (12-17 h)</v>
      </c>
    </row>
    <row r="913" customFormat="false" ht="15" hidden="false" customHeight="false" outlineLevel="0" collapsed="false">
      <c r="A913" s="17" t="n">
        <v>1912</v>
      </c>
      <c r="B913" s="17" t="n">
        <v>1</v>
      </c>
      <c r="C913" s="17" t="n">
        <v>3</v>
      </c>
      <c r="D913" s="17" t="n">
        <v>2022</v>
      </c>
      <c r="E913" s="18" t="n">
        <v>0.0460648148148148</v>
      </c>
      <c r="F913" s="17" t="n">
        <v>2521</v>
      </c>
      <c r="G913" s="17" t="s">
        <v>83</v>
      </c>
      <c r="H913" s="17" t="s">
        <v>84</v>
      </c>
      <c r="I913" s="17" t="s">
        <v>85</v>
      </c>
      <c r="J913" s="17" t="s">
        <v>86</v>
      </c>
      <c r="K913" s="17" t="n">
        <v>5</v>
      </c>
      <c r="L913" s="17" t="s">
        <v>42</v>
      </c>
      <c r="M913" s="17" t="s">
        <v>32</v>
      </c>
      <c r="N913" s="19" t="n">
        <v>6</v>
      </c>
      <c r="O913" s="19" t="n">
        <v>30</v>
      </c>
      <c r="P913" s="17" t="s">
        <v>43</v>
      </c>
      <c r="Q913" s="20" t="n">
        <f aca="false">DATE(D913,C913,B913)</f>
        <v>44621</v>
      </c>
      <c r="R913" s="17" t="str">
        <f aca="false">IF(HOUR(E913)&lt;6,"Madrugada (0-5 h)",IF(HOUR(E913)&lt;12,"Mañana (6-11 h)",IF(HOUR(E913)&lt;18,"Tarde (12-17 h)","Noche (18-23 h)")))</f>
        <v>Madrugada (0-5 h)</v>
      </c>
    </row>
    <row r="914" customFormat="false" ht="15" hidden="false" customHeight="false" outlineLevel="0" collapsed="false">
      <c r="A914" s="17" t="n">
        <v>1913</v>
      </c>
      <c r="B914" s="17" t="n">
        <v>11</v>
      </c>
      <c r="C914" s="17" t="n">
        <v>3</v>
      </c>
      <c r="D914" s="17" t="n">
        <v>2022</v>
      </c>
      <c r="E914" s="18" t="n">
        <v>0.364803240740741</v>
      </c>
      <c r="F914" s="17" t="n">
        <v>4775</v>
      </c>
      <c r="G914" s="17" t="s">
        <v>87</v>
      </c>
      <c r="H914" s="17" t="s">
        <v>88</v>
      </c>
      <c r="I914" s="17" t="s">
        <v>89</v>
      </c>
      <c r="J914" s="17" t="s">
        <v>90</v>
      </c>
      <c r="K914" s="17" t="n">
        <v>29</v>
      </c>
      <c r="L914" s="17" t="s">
        <v>31</v>
      </c>
      <c r="M914" s="17" t="s">
        <v>48</v>
      </c>
      <c r="N914" s="19" t="n">
        <v>13.54</v>
      </c>
      <c r="O914" s="19" t="n">
        <v>392.66</v>
      </c>
      <c r="P914" s="17" t="s">
        <v>33</v>
      </c>
      <c r="Q914" s="20" t="n">
        <f aca="false">DATE(D914,C914,B914)</f>
        <v>44631</v>
      </c>
      <c r="R914" s="17" t="str">
        <f aca="false">IF(HOUR(E914)&lt;6,"Madrugada (0-5 h)",IF(HOUR(E914)&lt;12,"Mañana (6-11 h)",IF(HOUR(E914)&lt;18,"Tarde (12-17 h)","Noche (18-23 h)")))</f>
        <v>Mañana (6-11 h)</v>
      </c>
    </row>
    <row r="915" customFormat="false" ht="15" hidden="false" customHeight="false" outlineLevel="0" collapsed="false">
      <c r="A915" s="17" t="n">
        <v>1914</v>
      </c>
      <c r="B915" s="17" t="n">
        <v>2</v>
      </c>
      <c r="C915" s="17" t="n">
        <v>6</v>
      </c>
      <c r="D915" s="17" t="n">
        <v>2021</v>
      </c>
      <c r="E915" s="18" t="n">
        <v>0.856273148148148</v>
      </c>
      <c r="F915" s="17" t="n">
        <v>2808</v>
      </c>
      <c r="G915" s="17" t="s">
        <v>91</v>
      </c>
      <c r="H915" s="17" t="s">
        <v>92</v>
      </c>
      <c r="I915" s="17" t="s">
        <v>93</v>
      </c>
      <c r="J915" s="17" t="s">
        <v>94</v>
      </c>
      <c r="K915" s="17" t="n">
        <v>4</v>
      </c>
      <c r="L915" s="17" t="s">
        <v>61</v>
      </c>
      <c r="M915" s="17" t="s">
        <v>32</v>
      </c>
      <c r="N915" s="19" t="n">
        <v>4.12</v>
      </c>
      <c r="O915" s="19" t="n">
        <v>16.48</v>
      </c>
      <c r="P915" s="17" t="s">
        <v>33</v>
      </c>
      <c r="Q915" s="20" t="n">
        <f aca="false">DATE(D915,C915,B915)</f>
        <v>44349</v>
      </c>
      <c r="R915" s="17" t="str">
        <f aca="false">IF(HOUR(E915)&lt;6,"Madrugada (0-5 h)",IF(HOUR(E915)&lt;12,"Mañana (6-11 h)",IF(HOUR(E915)&lt;18,"Tarde (12-17 h)","Noche (18-23 h)")))</f>
        <v>Noche (18-23 h)</v>
      </c>
    </row>
    <row r="916" customFormat="false" ht="15" hidden="false" customHeight="false" outlineLevel="0" collapsed="false">
      <c r="A916" s="17" t="n">
        <v>1915</v>
      </c>
      <c r="B916" s="17" t="n">
        <v>4</v>
      </c>
      <c r="C916" s="17" t="n">
        <v>3</v>
      </c>
      <c r="D916" s="17" t="n">
        <v>2021</v>
      </c>
      <c r="E916" s="18" t="n">
        <v>0.44193287037037</v>
      </c>
      <c r="F916" s="17" t="n">
        <v>4783</v>
      </c>
      <c r="G916" s="17" t="s">
        <v>95</v>
      </c>
      <c r="H916" s="17" t="s">
        <v>96</v>
      </c>
      <c r="I916" s="17" t="s">
        <v>97</v>
      </c>
      <c r="J916" s="17" t="s">
        <v>97</v>
      </c>
      <c r="K916" s="17" t="n">
        <v>43</v>
      </c>
      <c r="L916" s="17" t="s">
        <v>98</v>
      </c>
      <c r="M916" s="17" t="s">
        <v>48</v>
      </c>
      <c r="N916" s="19" t="n">
        <v>4.33</v>
      </c>
      <c r="O916" s="19" t="n">
        <v>186.19</v>
      </c>
      <c r="P916" s="17" t="s">
        <v>33</v>
      </c>
      <c r="Q916" s="20" t="n">
        <f aca="false">DATE(D916,C916,B916)</f>
        <v>44259</v>
      </c>
      <c r="R916" s="17" t="str">
        <f aca="false">IF(HOUR(E916)&lt;6,"Madrugada (0-5 h)",IF(HOUR(E916)&lt;12,"Mañana (6-11 h)",IF(HOUR(E916)&lt;18,"Tarde (12-17 h)","Noche (18-23 h)")))</f>
        <v>Mañana (6-11 h)</v>
      </c>
    </row>
    <row r="917" customFormat="false" ht="15" hidden="false" customHeight="false" outlineLevel="0" collapsed="false">
      <c r="A917" s="17" t="n">
        <v>1916</v>
      </c>
      <c r="B917" s="17" t="n">
        <v>12</v>
      </c>
      <c r="C917" s="17" t="n">
        <v>2</v>
      </c>
      <c r="D917" s="17" t="n">
        <v>2021</v>
      </c>
      <c r="E917" s="18" t="n">
        <v>0.810381944444444</v>
      </c>
      <c r="F917" s="17" t="n">
        <v>3999</v>
      </c>
      <c r="G917" s="17" t="s">
        <v>99</v>
      </c>
      <c r="H917" s="17" t="s">
        <v>100</v>
      </c>
      <c r="I917" s="17" t="s">
        <v>101</v>
      </c>
      <c r="J917" s="17" t="s">
        <v>102</v>
      </c>
      <c r="K917" s="17" t="n">
        <v>27</v>
      </c>
      <c r="L917" s="17" t="s">
        <v>103</v>
      </c>
      <c r="M917" s="17" t="s">
        <v>32</v>
      </c>
      <c r="N917" s="19" t="n">
        <v>6.97</v>
      </c>
      <c r="O917" s="19" t="n">
        <v>188.19</v>
      </c>
      <c r="P917" s="17" t="s">
        <v>43</v>
      </c>
      <c r="Q917" s="20" t="n">
        <f aca="false">DATE(D917,C917,B917)</f>
        <v>44239</v>
      </c>
      <c r="R917" s="17" t="str">
        <f aca="false">IF(HOUR(E917)&lt;6,"Madrugada (0-5 h)",IF(HOUR(E917)&lt;12,"Mañana (6-11 h)",IF(HOUR(E917)&lt;18,"Tarde (12-17 h)","Noche (18-23 h)")))</f>
        <v>Noche (18-23 h)</v>
      </c>
    </row>
    <row r="918" customFormat="false" ht="15" hidden="false" customHeight="false" outlineLevel="0" collapsed="false">
      <c r="A918" s="17" t="n">
        <v>1917</v>
      </c>
      <c r="B918" s="17" t="n">
        <v>6</v>
      </c>
      <c r="C918" s="17" t="n">
        <v>1</v>
      </c>
      <c r="D918" s="17" t="n">
        <v>2022</v>
      </c>
      <c r="E918" s="18" t="n">
        <v>0.0748148148148148</v>
      </c>
      <c r="F918" s="17" t="n">
        <v>2041</v>
      </c>
      <c r="G918" s="17" t="s">
        <v>104</v>
      </c>
      <c r="H918" s="17" t="s">
        <v>105</v>
      </c>
      <c r="I918" s="17" t="s">
        <v>106</v>
      </c>
      <c r="J918" s="17" t="s">
        <v>107</v>
      </c>
      <c r="K918" s="17" t="n">
        <v>45</v>
      </c>
      <c r="L918" s="17" t="s">
        <v>31</v>
      </c>
      <c r="M918" s="17" t="s">
        <v>32</v>
      </c>
      <c r="N918" s="19" t="n">
        <v>4.45</v>
      </c>
      <c r="O918" s="19" t="n">
        <v>200.25</v>
      </c>
      <c r="P918" s="17" t="s">
        <v>33</v>
      </c>
      <c r="Q918" s="20" t="n">
        <f aca="false">DATE(D918,C918,B918)</f>
        <v>44567</v>
      </c>
      <c r="R918" s="17" t="str">
        <f aca="false">IF(HOUR(E918)&lt;6,"Madrugada (0-5 h)",IF(HOUR(E918)&lt;12,"Mañana (6-11 h)",IF(HOUR(E918)&lt;18,"Tarde (12-17 h)","Noche (18-23 h)")))</f>
        <v>Madrugada (0-5 h)</v>
      </c>
    </row>
    <row r="919" customFormat="false" ht="15" hidden="false" customHeight="false" outlineLevel="0" collapsed="false">
      <c r="A919" s="17" t="n">
        <v>1918</v>
      </c>
      <c r="B919" s="17" t="n">
        <v>17</v>
      </c>
      <c r="C919" s="17" t="n">
        <v>6</v>
      </c>
      <c r="D919" s="17" t="n">
        <v>2022</v>
      </c>
      <c r="E919" s="18" t="n">
        <v>0.981423611111111</v>
      </c>
      <c r="F919" s="17" t="n">
        <v>3213</v>
      </c>
      <c r="G919" s="17" t="s">
        <v>108</v>
      </c>
      <c r="H919" s="17" t="s">
        <v>109</v>
      </c>
      <c r="I919" s="17" t="s">
        <v>110</v>
      </c>
      <c r="J919" s="17" t="s">
        <v>111</v>
      </c>
      <c r="K919" s="17" t="n">
        <v>12</v>
      </c>
      <c r="L919" s="17" t="s">
        <v>81</v>
      </c>
      <c r="M919" s="17" t="s">
        <v>82</v>
      </c>
      <c r="N919" s="19" t="n">
        <v>6.5</v>
      </c>
      <c r="O919" s="19" t="n">
        <v>78</v>
      </c>
      <c r="P919" s="17" t="s">
        <v>43</v>
      </c>
      <c r="Q919" s="20" t="n">
        <f aca="false">DATE(D919,C919,B919)</f>
        <v>44729</v>
      </c>
      <c r="R919" s="17" t="str">
        <f aca="false">IF(HOUR(E919)&lt;6,"Madrugada (0-5 h)",IF(HOUR(E919)&lt;12,"Mañana (6-11 h)",IF(HOUR(E919)&lt;18,"Tarde (12-17 h)","Noche (18-23 h)")))</f>
        <v>Noche (18-23 h)</v>
      </c>
    </row>
    <row r="920" customFormat="false" ht="15" hidden="false" customHeight="false" outlineLevel="0" collapsed="false">
      <c r="A920" s="17" t="n">
        <v>1919</v>
      </c>
      <c r="B920" s="17" t="n">
        <v>17</v>
      </c>
      <c r="C920" s="17" t="n">
        <v>9</v>
      </c>
      <c r="D920" s="17" t="n">
        <v>2022</v>
      </c>
      <c r="E920" s="18" t="n">
        <v>0.590196759259259</v>
      </c>
      <c r="F920" s="17" t="n">
        <v>4352</v>
      </c>
      <c r="G920" s="17" t="s">
        <v>112</v>
      </c>
      <c r="H920" s="17" t="s">
        <v>113</v>
      </c>
      <c r="I920" s="17" t="s">
        <v>114</v>
      </c>
      <c r="J920" s="17" t="s">
        <v>115</v>
      </c>
      <c r="K920" s="17" t="n">
        <v>33</v>
      </c>
      <c r="L920" s="17" t="s">
        <v>81</v>
      </c>
      <c r="M920" s="17" t="s">
        <v>116</v>
      </c>
      <c r="N920" s="19" t="n">
        <v>4.86</v>
      </c>
      <c r="O920" s="19" t="n">
        <v>160.38</v>
      </c>
      <c r="P920" s="17" t="s">
        <v>33</v>
      </c>
      <c r="Q920" s="20" t="n">
        <f aca="false">DATE(D920,C920,B920)</f>
        <v>44821</v>
      </c>
      <c r="R920" s="17" t="str">
        <f aca="false">IF(HOUR(E920)&lt;6,"Madrugada (0-5 h)",IF(HOUR(E920)&lt;12,"Mañana (6-11 h)",IF(HOUR(E920)&lt;18,"Tarde (12-17 h)","Noche (18-23 h)")))</f>
        <v>Tarde (12-17 h)</v>
      </c>
    </row>
    <row r="921" customFormat="false" ht="15" hidden="false" customHeight="false" outlineLevel="0" collapsed="false">
      <c r="A921" s="17" t="n">
        <v>1920</v>
      </c>
      <c r="B921" s="17" t="n">
        <v>17</v>
      </c>
      <c r="C921" s="17" t="n">
        <v>5</v>
      </c>
      <c r="D921" s="17" t="n">
        <v>2021</v>
      </c>
      <c r="E921" s="18" t="n">
        <v>0.309247685185185</v>
      </c>
      <c r="F921" s="17" t="n">
        <v>4275</v>
      </c>
      <c r="G921" s="17" t="s">
        <v>117</v>
      </c>
      <c r="H921" s="17" t="s">
        <v>118</v>
      </c>
      <c r="I921" s="17" t="s">
        <v>119</v>
      </c>
      <c r="J921" s="17" t="s">
        <v>115</v>
      </c>
      <c r="K921" s="17" t="n">
        <v>30</v>
      </c>
      <c r="L921" s="17" t="s">
        <v>81</v>
      </c>
      <c r="M921" s="17" t="s">
        <v>120</v>
      </c>
      <c r="N921" s="19" t="n">
        <v>3.54</v>
      </c>
      <c r="O921" s="19" t="n">
        <v>106.2</v>
      </c>
      <c r="P921" s="17" t="s">
        <v>33</v>
      </c>
      <c r="Q921" s="20" t="n">
        <f aca="false">DATE(D921,C921,B921)</f>
        <v>44333</v>
      </c>
      <c r="R921" s="17" t="str">
        <f aca="false">IF(HOUR(E921)&lt;6,"Madrugada (0-5 h)",IF(HOUR(E921)&lt;12,"Mañana (6-11 h)",IF(HOUR(E921)&lt;18,"Tarde (12-17 h)","Noche (18-23 h)")))</f>
        <v>Mañana (6-11 h)</v>
      </c>
    </row>
    <row r="922" customFormat="false" ht="15" hidden="false" customHeight="false" outlineLevel="0" collapsed="false">
      <c r="A922" s="17" t="n">
        <v>1921</v>
      </c>
      <c r="B922" s="17" t="n">
        <v>18</v>
      </c>
      <c r="C922" s="17" t="n">
        <v>1</v>
      </c>
      <c r="D922" s="17" t="n">
        <v>2022</v>
      </c>
      <c r="E922" s="18" t="n">
        <v>0.550127314814815</v>
      </c>
      <c r="F922" s="17" t="n">
        <v>2705</v>
      </c>
      <c r="G922" s="17" t="s">
        <v>121</v>
      </c>
      <c r="H922" s="17" t="s">
        <v>122</v>
      </c>
      <c r="I922" s="17" t="s">
        <v>123</v>
      </c>
      <c r="J922" s="17" t="s">
        <v>124</v>
      </c>
      <c r="K922" s="17" t="n">
        <v>12</v>
      </c>
      <c r="L922" s="17" t="s">
        <v>125</v>
      </c>
      <c r="M922" s="17" t="s">
        <v>76</v>
      </c>
      <c r="N922" s="19" t="n">
        <v>7</v>
      </c>
      <c r="O922" s="19" t="n">
        <v>84</v>
      </c>
      <c r="P922" s="17" t="s">
        <v>33</v>
      </c>
      <c r="Q922" s="20" t="n">
        <f aca="false">DATE(D922,C922,B922)</f>
        <v>44579</v>
      </c>
      <c r="R922" s="17" t="str">
        <f aca="false">IF(HOUR(E922)&lt;6,"Madrugada (0-5 h)",IF(HOUR(E922)&lt;12,"Mañana (6-11 h)",IF(HOUR(E922)&lt;18,"Tarde (12-17 h)","Noche (18-23 h)")))</f>
        <v>Tarde (12-17 h)</v>
      </c>
    </row>
    <row r="923" customFormat="false" ht="15" hidden="false" customHeight="false" outlineLevel="0" collapsed="false">
      <c r="A923" s="17" t="n">
        <v>1922</v>
      </c>
      <c r="B923" s="17" t="n">
        <v>18</v>
      </c>
      <c r="C923" s="17" t="n">
        <v>1</v>
      </c>
      <c r="D923" s="17" t="n">
        <v>2021</v>
      </c>
      <c r="E923" s="18" t="n">
        <v>0.169282407407407</v>
      </c>
      <c r="F923" s="17" t="n">
        <v>1089</v>
      </c>
      <c r="G923" s="17" t="s">
        <v>126</v>
      </c>
      <c r="H923" s="17" t="s">
        <v>127</v>
      </c>
      <c r="I923" s="17" t="s">
        <v>128</v>
      </c>
      <c r="J923" s="17" t="s">
        <v>129</v>
      </c>
      <c r="K923" s="17" t="n">
        <v>2</v>
      </c>
      <c r="L923" s="17" t="s">
        <v>98</v>
      </c>
      <c r="M923" s="17" t="s">
        <v>62</v>
      </c>
      <c r="N923" s="19" t="n">
        <v>3.05</v>
      </c>
      <c r="O923" s="19" t="n">
        <v>6.1</v>
      </c>
      <c r="P923" s="17" t="s">
        <v>33</v>
      </c>
      <c r="Q923" s="20" t="n">
        <f aca="false">DATE(D923,C923,B923)</f>
        <v>44214</v>
      </c>
      <c r="R923" s="17" t="str">
        <f aca="false">IF(HOUR(E923)&lt;6,"Madrugada (0-5 h)",IF(HOUR(E923)&lt;12,"Mañana (6-11 h)",IF(HOUR(E923)&lt;18,"Tarde (12-17 h)","Noche (18-23 h)")))</f>
        <v>Madrugada (0-5 h)</v>
      </c>
    </row>
    <row r="924" customFormat="false" ht="15" hidden="false" customHeight="false" outlineLevel="0" collapsed="false">
      <c r="A924" s="17" t="n">
        <v>1923</v>
      </c>
      <c r="B924" s="17" t="n">
        <v>28</v>
      </c>
      <c r="C924" s="17" t="n">
        <v>2</v>
      </c>
      <c r="D924" s="17" t="n">
        <v>2022</v>
      </c>
      <c r="E924" s="18" t="n">
        <v>0.821111111111111</v>
      </c>
      <c r="F924" s="17" t="n">
        <v>2572</v>
      </c>
      <c r="G924" s="17" t="s">
        <v>130</v>
      </c>
      <c r="H924" s="17" t="s">
        <v>131</v>
      </c>
      <c r="I924" s="17" t="s">
        <v>132</v>
      </c>
      <c r="J924" s="17" t="s">
        <v>129</v>
      </c>
      <c r="K924" s="17" t="n">
        <v>13</v>
      </c>
      <c r="L924" s="17" t="s">
        <v>98</v>
      </c>
      <c r="M924" s="17" t="s">
        <v>62</v>
      </c>
      <c r="N924" s="19" t="n">
        <v>4.57</v>
      </c>
      <c r="O924" s="19" t="n">
        <v>59.41</v>
      </c>
      <c r="P924" s="17" t="s">
        <v>33</v>
      </c>
      <c r="Q924" s="20" t="n">
        <f aca="false">DATE(D924,C924,B924)</f>
        <v>44620</v>
      </c>
      <c r="R924" s="17" t="str">
        <f aca="false">IF(HOUR(E924)&lt;6,"Madrugada (0-5 h)",IF(HOUR(E924)&lt;12,"Mañana (6-11 h)",IF(HOUR(E924)&lt;18,"Tarde (12-17 h)","Noche (18-23 h)")))</f>
        <v>Noche (18-23 h)</v>
      </c>
    </row>
    <row r="925" customFormat="false" ht="15" hidden="false" customHeight="false" outlineLevel="0" collapsed="false">
      <c r="A925" s="17" t="n">
        <v>1924</v>
      </c>
      <c r="B925" s="17" t="n">
        <v>18</v>
      </c>
      <c r="C925" s="17" t="n">
        <v>3</v>
      </c>
      <c r="D925" s="17" t="n">
        <v>2021</v>
      </c>
      <c r="E925" s="18" t="n">
        <v>0.770798611111111</v>
      </c>
      <c r="F925" s="17" t="n">
        <v>1135</v>
      </c>
      <c r="G925" s="17" t="s">
        <v>133</v>
      </c>
      <c r="H925" s="17" t="s">
        <v>134</v>
      </c>
      <c r="I925" s="17" t="s">
        <v>135</v>
      </c>
      <c r="J925" s="17" t="s">
        <v>136</v>
      </c>
      <c r="K925" s="17" t="n">
        <v>18</v>
      </c>
      <c r="L925" s="17" t="s">
        <v>81</v>
      </c>
      <c r="M925" s="17" t="s">
        <v>76</v>
      </c>
      <c r="N925" s="19" t="n">
        <v>9.89</v>
      </c>
      <c r="O925" s="19" t="n">
        <v>178.02</v>
      </c>
      <c r="P925" s="17" t="s">
        <v>33</v>
      </c>
      <c r="Q925" s="20" t="n">
        <f aca="false">DATE(D925,C925,B925)</f>
        <v>44273</v>
      </c>
      <c r="R925" s="17" t="str">
        <f aca="false">IF(HOUR(E925)&lt;6,"Madrugada (0-5 h)",IF(HOUR(E925)&lt;12,"Mañana (6-11 h)",IF(HOUR(E925)&lt;18,"Tarde (12-17 h)","Noche (18-23 h)")))</f>
        <v>Noche (18-23 h)</v>
      </c>
    </row>
    <row r="926" customFormat="false" ht="15" hidden="false" customHeight="false" outlineLevel="0" collapsed="false">
      <c r="A926" s="17" t="n">
        <v>1925</v>
      </c>
      <c r="B926" s="17" t="n">
        <v>9</v>
      </c>
      <c r="C926" s="17" t="n">
        <v>2</v>
      </c>
      <c r="D926" s="17" t="n">
        <v>2021</v>
      </c>
      <c r="E926" s="18" t="n">
        <v>0.71349537037037</v>
      </c>
      <c r="F926" s="17" t="n">
        <v>4468</v>
      </c>
      <c r="G926" s="17" t="s">
        <v>137</v>
      </c>
      <c r="H926" s="21" t="s">
        <v>485</v>
      </c>
      <c r="I926" s="17" t="s">
        <v>139</v>
      </c>
      <c r="J926" s="17" t="s">
        <v>140</v>
      </c>
      <c r="K926" s="17" t="n">
        <v>18</v>
      </c>
      <c r="L926" s="17" t="s">
        <v>31</v>
      </c>
      <c r="M926" s="17" t="s">
        <v>32</v>
      </c>
      <c r="N926" s="19" t="n">
        <v>3.44</v>
      </c>
      <c r="O926" s="19" t="n">
        <v>61.92</v>
      </c>
      <c r="P926" s="17" t="s">
        <v>43</v>
      </c>
      <c r="Q926" s="20" t="n">
        <f aca="false">DATE(D926,C926,B926)</f>
        <v>44236</v>
      </c>
      <c r="R926" s="17" t="str">
        <f aca="false">IF(HOUR(E926)&lt;6,"Madrugada (0-5 h)",IF(HOUR(E926)&lt;12,"Mañana (6-11 h)",IF(HOUR(E926)&lt;18,"Tarde (12-17 h)","Noche (18-23 h)")))</f>
        <v>Tarde (12-17 h)</v>
      </c>
    </row>
    <row r="927" customFormat="false" ht="15" hidden="false" customHeight="false" outlineLevel="0" collapsed="false">
      <c r="A927" s="17" t="n">
        <v>1926</v>
      </c>
      <c r="B927" s="17" t="n">
        <v>6</v>
      </c>
      <c r="C927" s="17" t="n">
        <v>9</v>
      </c>
      <c r="D927" s="17" t="n">
        <v>2022</v>
      </c>
      <c r="E927" s="18" t="n">
        <v>0.0448611111111111</v>
      </c>
      <c r="F927" s="17" t="n">
        <v>3767</v>
      </c>
      <c r="G927" s="17" t="s">
        <v>141</v>
      </c>
      <c r="H927" s="17" t="s">
        <v>142</v>
      </c>
      <c r="I927" s="17" t="s">
        <v>143</v>
      </c>
      <c r="J927" s="17" t="s">
        <v>144</v>
      </c>
      <c r="K927" s="17" t="n">
        <v>38</v>
      </c>
      <c r="L927" s="17" t="s">
        <v>42</v>
      </c>
      <c r="M927" s="17" t="s">
        <v>48</v>
      </c>
      <c r="N927" s="19" t="n">
        <v>8.88</v>
      </c>
      <c r="O927" s="19" t="n">
        <v>337.44</v>
      </c>
      <c r="P927" s="17" t="s">
        <v>33</v>
      </c>
      <c r="Q927" s="20" t="n">
        <f aca="false">DATE(D927,C927,B927)</f>
        <v>44810</v>
      </c>
      <c r="R927" s="17" t="str">
        <f aca="false">IF(HOUR(E927)&lt;6,"Madrugada (0-5 h)",IF(HOUR(E927)&lt;12,"Mañana (6-11 h)",IF(HOUR(E927)&lt;18,"Tarde (12-17 h)","Noche (18-23 h)")))</f>
        <v>Madrugada (0-5 h)</v>
      </c>
    </row>
    <row r="928" customFormat="false" ht="15" hidden="false" customHeight="false" outlineLevel="0" collapsed="false">
      <c r="A928" s="17" t="n">
        <v>1927</v>
      </c>
      <c r="B928" s="17" t="n">
        <v>15</v>
      </c>
      <c r="C928" s="17" t="n">
        <v>10</v>
      </c>
      <c r="D928" s="17" t="n">
        <v>2021</v>
      </c>
      <c r="E928" s="18" t="n">
        <v>0.835486111111111</v>
      </c>
      <c r="F928" s="17" t="n">
        <v>2195</v>
      </c>
      <c r="G928" s="17" t="s">
        <v>145</v>
      </c>
      <c r="H928" s="17" t="s">
        <v>146</v>
      </c>
      <c r="I928" s="17" t="s">
        <v>147</v>
      </c>
      <c r="J928" s="17" t="s">
        <v>148</v>
      </c>
      <c r="K928" s="17" t="n">
        <v>12</v>
      </c>
      <c r="L928" s="17" t="s">
        <v>42</v>
      </c>
      <c r="M928" s="17" t="s">
        <v>48</v>
      </c>
      <c r="N928" s="19" t="n">
        <v>15.87</v>
      </c>
      <c r="O928" s="19" t="n">
        <v>190.44</v>
      </c>
      <c r="P928" s="17" t="s">
        <v>33</v>
      </c>
      <c r="Q928" s="20" t="n">
        <f aca="false">DATE(D928,C928,B928)</f>
        <v>44484</v>
      </c>
      <c r="R928" s="17" t="str">
        <f aca="false">IF(HOUR(E928)&lt;6,"Madrugada (0-5 h)",IF(HOUR(E928)&lt;12,"Mañana (6-11 h)",IF(HOUR(E928)&lt;18,"Tarde (12-17 h)","Noche (18-23 h)")))</f>
        <v>Noche (18-23 h)</v>
      </c>
    </row>
    <row r="929" customFormat="false" ht="15" hidden="false" customHeight="false" outlineLevel="0" collapsed="false">
      <c r="A929" s="17" t="n">
        <v>1928</v>
      </c>
      <c r="B929" s="17" t="n">
        <v>18</v>
      </c>
      <c r="C929" s="17" t="n">
        <v>8</v>
      </c>
      <c r="D929" s="17" t="n">
        <v>2021</v>
      </c>
      <c r="E929" s="18" t="n">
        <v>0.737268518518519</v>
      </c>
      <c r="F929" s="17" t="n">
        <v>2526</v>
      </c>
      <c r="G929" s="17" t="s">
        <v>149</v>
      </c>
      <c r="H929" s="17" t="s">
        <v>150</v>
      </c>
      <c r="I929" s="17" t="s">
        <v>151</v>
      </c>
      <c r="J929" s="17" t="s">
        <v>152</v>
      </c>
      <c r="K929" s="17" t="n">
        <v>2</v>
      </c>
      <c r="L929" s="17" t="s">
        <v>42</v>
      </c>
      <c r="M929" s="17" t="s">
        <v>32</v>
      </c>
      <c r="N929" s="19" t="n">
        <v>13.04</v>
      </c>
      <c r="O929" s="19" t="n">
        <v>26.08</v>
      </c>
      <c r="P929" s="17" t="s">
        <v>33</v>
      </c>
      <c r="Q929" s="20" t="n">
        <f aca="false">DATE(D929,C929,B929)</f>
        <v>44426</v>
      </c>
      <c r="R929" s="17" t="str">
        <f aca="false">IF(HOUR(E929)&lt;6,"Madrugada (0-5 h)",IF(HOUR(E929)&lt;12,"Mañana (6-11 h)",IF(HOUR(E929)&lt;18,"Tarde (12-17 h)","Noche (18-23 h)")))</f>
        <v>Tarde (12-17 h)</v>
      </c>
    </row>
    <row r="930" customFormat="false" ht="15" hidden="false" customHeight="false" outlineLevel="0" collapsed="false">
      <c r="A930" s="17" t="n">
        <v>1929</v>
      </c>
      <c r="B930" s="17" t="n">
        <v>3</v>
      </c>
      <c r="C930" s="17" t="n">
        <v>3</v>
      </c>
      <c r="D930" s="17" t="n">
        <v>2022</v>
      </c>
      <c r="E930" s="18" t="n">
        <v>0.325601851851852</v>
      </c>
      <c r="F930" s="17" t="n">
        <v>3542</v>
      </c>
      <c r="G930" s="17" t="s">
        <v>153</v>
      </c>
      <c r="H930" s="17" t="s">
        <v>154</v>
      </c>
      <c r="I930" s="17" t="s">
        <v>155</v>
      </c>
      <c r="J930" s="17" t="s">
        <v>155</v>
      </c>
      <c r="K930" s="17" t="n">
        <v>19</v>
      </c>
      <c r="L930" s="17" t="s">
        <v>42</v>
      </c>
      <c r="M930" s="17" t="s">
        <v>32</v>
      </c>
      <c r="N930" s="19" t="n">
        <v>9.31</v>
      </c>
      <c r="O930" s="19" t="n">
        <v>176.89</v>
      </c>
      <c r="P930" s="17" t="s">
        <v>43</v>
      </c>
      <c r="Q930" s="20" t="n">
        <f aca="false">DATE(D930,C930,B930)</f>
        <v>44623</v>
      </c>
      <c r="R930" s="17" t="str">
        <f aca="false">IF(HOUR(E930)&lt;6,"Madrugada (0-5 h)",IF(HOUR(E930)&lt;12,"Mañana (6-11 h)",IF(HOUR(E930)&lt;18,"Tarde (12-17 h)","Noche (18-23 h)")))</f>
        <v>Mañana (6-11 h)</v>
      </c>
    </row>
    <row r="931" customFormat="false" ht="15" hidden="false" customHeight="false" outlineLevel="0" collapsed="false">
      <c r="A931" s="17" t="n">
        <v>1930</v>
      </c>
      <c r="B931" s="17" t="n">
        <v>22</v>
      </c>
      <c r="C931" s="17" t="n">
        <v>1</v>
      </c>
      <c r="D931" s="17" t="n">
        <v>2021</v>
      </c>
      <c r="E931" s="18" t="n">
        <v>0.824641203703704</v>
      </c>
      <c r="F931" s="17" t="n">
        <v>2485</v>
      </c>
      <c r="G931" s="17" t="s">
        <v>156</v>
      </c>
      <c r="H931" s="17" t="s">
        <v>157</v>
      </c>
      <c r="I931" s="17" t="s">
        <v>158</v>
      </c>
      <c r="J931" s="17" t="s">
        <v>159</v>
      </c>
      <c r="K931" s="17" t="n">
        <v>1</v>
      </c>
      <c r="L931" s="17" t="s">
        <v>125</v>
      </c>
      <c r="M931" s="17" t="s">
        <v>82</v>
      </c>
      <c r="N931" s="19" t="n">
        <v>8.51</v>
      </c>
      <c r="O931" s="19" t="n">
        <v>8.51</v>
      </c>
      <c r="P931" s="17" t="s">
        <v>33</v>
      </c>
      <c r="Q931" s="20" t="n">
        <f aca="false">DATE(D931,C931,B931)</f>
        <v>44218</v>
      </c>
      <c r="R931" s="17" t="str">
        <f aca="false">IF(HOUR(E931)&lt;6,"Madrugada (0-5 h)",IF(HOUR(E931)&lt;12,"Mañana (6-11 h)",IF(HOUR(E931)&lt;18,"Tarde (12-17 h)","Noche (18-23 h)")))</f>
        <v>Noche (18-23 h)</v>
      </c>
    </row>
    <row r="932" customFormat="false" ht="15" hidden="false" customHeight="false" outlineLevel="0" collapsed="false">
      <c r="A932" s="17" t="n">
        <v>1931</v>
      </c>
      <c r="B932" s="17" t="n">
        <v>17</v>
      </c>
      <c r="C932" s="17" t="n">
        <v>10</v>
      </c>
      <c r="D932" s="17" t="n">
        <v>2021</v>
      </c>
      <c r="E932" s="18" t="n">
        <v>0.564861111111111</v>
      </c>
      <c r="F932" s="17" t="n">
        <v>2434</v>
      </c>
      <c r="G932" s="17" t="s">
        <v>160</v>
      </c>
      <c r="H932" s="17" t="s">
        <v>161</v>
      </c>
      <c r="I932" s="17" t="s">
        <v>162</v>
      </c>
      <c r="J932" s="17" t="s">
        <v>163</v>
      </c>
      <c r="K932" s="17" t="n">
        <v>47</v>
      </c>
      <c r="L932" s="17" t="s">
        <v>42</v>
      </c>
      <c r="M932" s="17" t="s">
        <v>76</v>
      </c>
      <c r="N932" s="19" t="n">
        <v>15.63</v>
      </c>
      <c r="O932" s="19" t="n">
        <v>734.61</v>
      </c>
      <c r="P932" s="17" t="s">
        <v>33</v>
      </c>
      <c r="Q932" s="20" t="n">
        <f aca="false">DATE(D932,C932,B932)</f>
        <v>44486</v>
      </c>
      <c r="R932" s="17" t="str">
        <f aca="false">IF(HOUR(E932)&lt;6,"Madrugada (0-5 h)",IF(HOUR(E932)&lt;12,"Mañana (6-11 h)",IF(HOUR(E932)&lt;18,"Tarde (12-17 h)","Noche (18-23 h)")))</f>
        <v>Tarde (12-17 h)</v>
      </c>
    </row>
    <row r="933" customFormat="false" ht="15" hidden="false" customHeight="false" outlineLevel="0" collapsed="false">
      <c r="A933" s="17" t="n">
        <v>1932</v>
      </c>
      <c r="B933" s="17" t="n">
        <v>21</v>
      </c>
      <c r="C933" s="17" t="n">
        <v>12</v>
      </c>
      <c r="D933" s="17" t="n">
        <v>2022</v>
      </c>
      <c r="E933" s="18" t="n">
        <v>0.490127314814815</v>
      </c>
      <c r="F933" s="17" t="n">
        <v>2280</v>
      </c>
      <c r="G933" s="17" t="s">
        <v>164</v>
      </c>
      <c r="H933" s="17" t="s">
        <v>165</v>
      </c>
      <c r="I933" s="17" t="s">
        <v>166</v>
      </c>
      <c r="J933" s="17" t="s">
        <v>167</v>
      </c>
      <c r="K933" s="17" t="n">
        <v>11</v>
      </c>
      <c r="L933" s="17" t="s">
        <v>81</v>
      </c>
      <c r="M933" s="17" t="s">
        <v>82</v>
      </c>
      <c r="N933" s="19" t="n">
        <v>6.99</v>
      </c>
      <c r="O933" s="19" t="n">
        <v>76.89</v>
      </c>
      <c r="P933" s="17" t="s">
        <v>33</v>
      </c>
      <c r="Q933" s="20" t="n">
        <f aca="false">DATE(D933,C933,B933)</f>
        <v>44916</v>
      </c>
      <c r="R933" s="17" t="str">
        <f aca="false">IF(HOUR(E933)&lt;6,"Madrugada (0-5 h)",IF(HOUR(E933)&lt;12,"Mañana (6-11 h)",IF(HOUR(E933)&lt;18,"Tarde (12-17 h)","Noche (18-23 h)")))</f>
        <v>Mañana (6-11 h)</v>
      </c>
    </row>
    <row r="934" customFormat="false" ht="15" hidden="false" customHeight="false" outlineLevel="0" collapsed="false">
      <c r="A934" s="17" t="n">
        <v>1933</v>
      </c>
      <c r="B934" s="17" t="n">
        <v>13</v>
      </c>
      <c r="C934" s="17" t="n">
        <v>12</v>
      </c>
      <c r="D934" s="17" t="n">
        <v>2021</v>
      </c>
      <c r="E934" s="18" t="n">
        <v>0.190115740740741</v>
      </c>
      <c r="F934" s="17" t="n">
        <v>4789</v>
      </c>
      <c r="G934" s="17" t="s">
        <v>168</v>
      </c>
      <c r="H934" s="17" t="s">
        <v>169</v>
      </c>
      <c r="I934" s="17" t="s">
        <v>170</v>
      </c>
      <c r="J934" s="17" t="s">
        <v>171</v>
      </c>
      <c r="K934" s="17" t="n">
        <v>6</v>
      </c>
      <c r="L934" s="17" t="s">
        <v>31</v>
      </c>
      <c r="M934" s="17" t="s">
        <v>76</v>
      </c>
      <c r="N934" s="19" t="n">
        <v>6.84</v>
      </c>
      <c r="O934" s="19" t="n">
        <v>41.04</v>
      </c>
      <c r="P934" s="17" t="s">
        <v>33</v>
      </c>
      <c r="Q934" s="20" t="n">
        <f aca="false">DATE(D934,C934,B934)</f>
        <v>44543</v>
      </c>
      <c r="R934" s="17" t="str">
        <f aca="false">IF(HOUR(E934)&lt;6,"Madrugada (0-5 h)",IF(HOUR(E934)&lt;12,"Mañana (6-11 h)",IF(HOUR(E934)&lt;18,"Tarde (12-17 h)","Noche (18-23 h)")))</f>
        <v>Madrugada (0-5 h)</v>
      </c>
    </row>
    <row r="935" customFormat="false" ht="15" hidden="false" customHeight="false" outlineLevel="0" collapsed="false">
      <c r="A935" s="17" t="n">
        <v>1934</v>
      </c>
      <c r="B935" s="17" t="n">
        <v>3</v>
      </c>
      <c r="C935" s="17" t="n">
        <v>6</v>
      </c>
      <c r="D935" s="17" t="n">
        <v>2021</v>
      </c>
      <c r="E935" s="18" t="n">
        <v>0.241446759259259</v>
      </c>
      <c r="F935" s="17" t="n">
        <v>2252</v>
      </c>
      <c r="G935" s="17" t="s">
        <v>172</v>
      </c>
      <c r="H935" s="17" t="s">
        <v>173</v>
      </c>
      <c r="I935" s="17" t="s">
        <v>174</v>
      </c>
      <c r="J935" s="17" t="s">
        <v>175</v>
      </c>
      <c r="K935" s="17" t="n">
        <v>50</v>
      </c>
      <c r="L935" s="17" t="s">
        <v>31</v>
      </c>
      <c r="M935" s="17" t="s">
        <v>76</v>
      </c>
      <c r="N935" s="19" t="n">
        <v>5.5</v>
      </c>
      <c r="O935" s="19" t="n">
        <v>275</v>
      </c>
      <c r="P935" s="17" t="s">
        <v>33</v>
      </c>
      <c r="Q935" s="20" t="n">
        <f aca="false">DATE(D935,C935,B935)</f>
        <v>44350</v>
      </c>
      <c r="R935" s="17" t="str">
        <f aca="false">IF(HOUR(E935)&lt;6,"Madrugada (0-5 h)",IF(HOUR(E935)&lt;12,"Mañana (6-11 h)",IF(HOUR(E935)&lt;18,"Tarde (12-17 h)","Noche (18-23 h)")))</f>
        <v>Madrugada (0-5 h)</v>
      </c>
    </row>
    <row r="936" customFormat="false" ht="15" hidden="false" customHeight="false" outlineLevel="0" collapsed="false">
      <c r="A936" s="17" t="n">
        <v>1935</v>
      </c>
      <c r="B936" s="17" t="n">
        <v>11</v>
      </c>
      <c r="C936" s="17" t="n">
        <v>11</v>
      </c>
      <c r="D936" s="17" t="n">
        <v>2021</v>
      </c>
      <c r="E936" s="18" t="n">
        <v>0.877141203703704</v>
      </c>
      <c r="F936" s="17" t="n">
        <v>3929</v>
      </c>
      <c r="G936" s="17" t="s">
        <v>176</v>
      </c>
      <c r="H936" s="17" t="s">
        <v>177</v>
      </c>
      <c r="I936" s="17" t="s">
        <v>178</v>
      </c>
      <c r="J936" s="17" t="s">
        <v>179</v>
      </c>
      <c r="K936" s="17" t="n">
        <v>34</v>
      </c>
      <c r="L936" s="17" t="s">
        <v>31</v>
      </c>
      <c r="M936" s="17" t="s">
        <v>76</v>
      </c>
      <c r="N936" s="19" t="n">
        <v>9.56</v>
      </c>
      <c r="O936" s="19" t="n">
        <v>325.04</v>
      </c>
      <c r="P936" s="17" t="s">
        <v>33</v>
      </c>
      <c r="Q936" s="20" t="n">
        <f aca="false">DATE(D936,C936,B936)</f>
        <v>44511</v>
      </c>
      <c r="R936" s="17" t="str">
        <f aca="false">IF(HOUR(E936)&lt;6,"Madrugada (0-5 h)",IF(HOUR(E936)&lt;12,"Mañana (6-11 h)",IF(HOUR(E936)&lt;18,"Tarde (12-17 h)","Noche (18-23 h)")))</f>
        <v>Noche (18-23 h)</v>
      </c>
    </row>
    <row r="937" customFormat="false" ht="15" hidden="false" customHeight="false" outlineLevel="0" collapsed="false">
      <c r="A937" s="17" t="n">
        <v>1936</v>
      </c>
      <c r="B937" s="17" t="n">
        <v>6</v>
      </c>
      <c r="C937" s="17" t="n">
        <v>8</v>
      </c>
      <c r="D937" s="17" t="n">
        <v>2021</v>
      </c>
      <c r="E937" s="18" t="n">
        <v>0.830775462962963</v>
      </c>
      <c r="F937" s="17" t="n">
        <v>4933</v>
      </c>
      <c r="G937" s="17" t="s">
        <v>180</v>
      </c>
      <c r="H937" s="17" t="s">
        <v>181</v>
      </c>
      <c r="I937" s="17" t="s">
        <v>182</v>
      </c>
      <c r="J937" s="17" t="s">
        <v>183</v>
      </c>
      <c r="K937" s="17" t="n">
        <v>24</v>
      </c>
      <c r="L937" s="17" t="s">
        <v>31</v>
      </c>
      <c r="M937" s="17" t="s">
        <v>32</v>
      </c>
      <c r="N937" s="19" t="n">
        <v>3.43</v>
      </c>
      <c r="O937" s="19" t="n">
        <v>82.32</v>
      </c>
      <c r="P937" s="17" t="s">
        <v>33</v>
      </c>
      <c r="Q937" s="20" t="n">
        <f aca="false">DATE(D937,C937,B937)</f>
        <v>44414</v>
      </c>
      <c r="R937" s="17" t="str">
        <f aca="false">IF(HOUR(E937)&lt;6,"Madrugada (0-5 h)",IF(HOUR(E937)&lt;12,"Mañana (6-11 h)",IF(HOUR(E937)&lt;18,"Tarde (12-17 h)","Noche (18-23 h)")))</f>
        <v>Noche (18-23 h)</v>
      </c>
    </row>
    <row r="938" customFormat="false" ht="15" hidden="false" customHeight="false" outlineLevel="0" collapsed="false">
      <c r="A938" s="17" t="n">
        <v>1937</v>
      </c>
      <c r="B938" s="17" t="n">
        <v>2</v>
      </c>
      <c r="C938" s="17" t="n">
        <v>7</v>
      </c>
      <c r="D938" s="17" t="n">
        <v>2021</v>
      </c>
      <c r="E938" s="18" t="n">
        <v>0.159236111111111</v>
      </c>
      <c r="F938" s="17" t="n">
        <v>2084</v>
      </c>
      <c r="G938" s="17" t="s">
        <v>184</v>
      </c>
      <c r="H938" s="17" t="s">
        <v>185</v>
      </c>
      <c r="I938" s="17" t="s">
        <v>186</v>
      </c>
      <c r="J938" s="17" t="s">
        <v>187</v>
      </c>
      <c r="K938" s="17" t="n">
        <v>18</v>
      </c>
      <c r="L938" s="17" t="s">
        <v>81</v>
      </c>
      <c r="M938" s="17" t="s">
        <v>82</v>
      </c>
      <c r="N938" s="19" t="n">
        <v>1.23</v>
      </c>
      <c r="O938" s="19" t="n">
        <v>22.14</v>
      </c>
      <c r="P938" s="17" t="s">
        <v>33</v>
      </c>
      <c r="Q938" s="20" t="n">
        <f aca="false">DATE(D938,C938,B938)</f>
        <v>44379</v>
      </c>
      <c r="R938" s="17" t="str">
        <f aca="false">IF(HOUR(E938)&lt;6,"Madrugada (0-5 h)",IF(HOUR(E938)&lt;12,"Mañana (6-11 h)",IF(HOUR(E938)&lt;18,"Tarde (12-17 h)","Noche (18-23 h)")))</f>
        <v>Madrugada (0-5 h)</v>
      </c>
    </row>
    <row r="939" customFormat="false" ht="15" hidden="false" customHeight="false" outlineLevel="0" collapsed="false">
      <c r="A939" s="17" t="n">
        <v>1938</v>
      </c>
      <c r="B939" s="17" t="n">
        <v>11</v>
      </c>
      <c r="C939" s="17" t="n">
        <v>3</v>
      </c>
      <c r="D939" s="17" t="n">
        <v>2021</v>
      </c>
      <c r="E939" s="18" t="n">
        <v>0.665115740740741</v>
      </c>
      <c r="F939" s="17" t="n">
        <v>3575</v>
      </c>
      <c r="G939" s="17" t="s">
        <v>188</v>
      </c>
      <c r="H939" s="17" t="s">
        <v>189</v>
      </c>
      <c r="I939" s="17" t="s">
        <v>190</v>
      </c>
      <c r="J939" s="17" t="s">
        <v>191</v>
      </c>
      <c r="K939" s="17" t="n">
        <v>26</v>
      </c>
      <c r="L939" s="17" t="s">
        <v>125</v>
      </c>
      <c r="M939" s="17" t="s">
        <v>76</v>
      </c>
      <c r="N939" s="19" t="n">
        <v>13.55</v>
      </c>
      <c r="O939" s="19" t="n">
        <v>352.3</v>
      </c>
      <c r="P939" s="17" t="s">
        <v>33</v>
      </c>
      <c r="Q939" s="20" t="n">
        <f aca="false">DATE(D939,C939,B939)</f>
        <v>44266</v>
      </c>
      <c r="R939" s="17" t="str">
        <f aca="false">IF(HOUR(E939)&lt;6,"Madrugada (0-5 h)",IF(HOUR(E939)&lt;12,"Mañana (6-11 h)",IF(HOUR(E939)&lt;18,"Tarde (12-17 h)","Noche (18-23 h)")))</f>
        <v>Tarde (12-17 h)</v>
      </c>
    </row>
    <row r="940" customFormat="false" ht="15" hidden="false" customHeight="false" outlineLevel="0" collapsed="false">
      <c r="A940" s="17" t="n">
        <v>1939</v>
      </c>
      <c r="B940" s="17" t="n">
        <v>3</v>
      </c>
      <c r="C940" s="17" t="n">
        <v>8</v>
      </c>
      <c r="D940" s="17" t="n">
        <v>2022</v>
      </c>
      <c r="E940" s="18" t="n">
        <v>0.204328703703704</v>
      </c>
      <c r="F940" s="17" t="n">
        <v>4834</v>
      </c>
      <c r="G940" s="17" t="s">
        <v>192</v>
      </c>
      <c r="H940" s="17" t="s">
        <v>193</v>
      </c>
      <c r="I940" s="17" t="s">
        <v>194</v>
      </c>
      <c r="J940" s="17" t="s">
        <v>195</v>
      </c>
      <c r="K940" s="17" t="n">
        <v>30</v>
      </c>
      <c r="L940" s="17" t="s">
        <v>31</v>
      </c>
      <c r="M940" s="17" t="s">
        <v>82</v>
      </c>
      <c r="N940" s="19" t="n">
        <v>6.78</v>
      </c>
      <c r="O940" s="19" t="n">
        <v>203.4</v>
      </c>
      <c r="P940" s="17" t="s">
        <v>33</v>
      </c>
      <c r="Q940" s="20" t="n">
        <f aca="false">DATE(D940,C940,B940)</f>
        <v>44776</v>
      </c>
      <c r="R940" s="17" t="str">
        <f aca="false">IF(HOUR(E940)&lt;6,"Madrugada (0-5 h)",IF(HOUR(E940)&lt;12,"Mañana (6-11 h)",IF(HOUR(E940)&lt;18,"Tarde (12-17 h)","Noche (18-23 h)")))</f>
        <v>Madrugada (0-5 h)</v>
      </c>
    </row>
    <row r="941" customFormat="false" ht="15" hidden="false" customHeight="false" outlineLevel="0" collapsed="false">
      <c r="A941" s="17" t="n">
        <v>1940</v>
      </c>
      <c r="B941" s="17" t="n">
        <v>3</v>
      </c>
      <c r="C941" s="17" t="n">
        <v>8</v>
      </c>
      <c r="D941" s="17" t="n">
        <v>2022</v>
      </c>
      <c r="E941" s="18" t="n">
        <v>0.127974537037037</v>
      </c>
      <c r="F941" s="17" t="n">
        <v>1326</v>
      </c>
      <c r="G941" s="17" t="s">
        <v>196</v>
      </c>
      <c r="H941" s="17" t="s">
        <v>197</v>
      </c>
      <c r="I941" s="17" t="s">
        <v>198</v>
      </c>
      <c r="J941" s="17" t="s">
        <v>199</v>
      </c>
      <c r="K941" s="17" t="n">
        <v>19</v>
      </c>
      <c r="L941" s="17" t="s">
        <v>31</v>
      </c>
      <c r="M941" s="17" t="s">
        <v>32</v>
      </c>
      <c r="N941" s="19" t="n">
        <v>8.02</v>
      </c>
      <c r="O941" s="19" t="n">
        <v>152.38</v>
      </c>
      <c r="P941" s="17" t="s">
        <v>33</v>
      </c>
      <c r="Q941" s="20" t="n">
        <f aca="false">DATE(D941,C941,B941)</f>
        <v>44776</v>
      </c>
      <c r="R941" s="17" t="str">
        <f aca="false">IF(HOUR(E941)&lt;6,"Madrugada (0-5 h)",IF(HOUR(E941)&lt;12,"Mañana (6-11 h)",IF(HOUR(E941)&lt;18,"Tarde (12-17 h)","Noche (18-23 h)")))</f>
        <v>Madrugada (0-5 h)</v>
      </c>
    </row>
    <row r="942" customFormat="false" ht="15" hidden="false" customHeight="false" outlineLevel="0" collapsed="false">
      <c r="A942" s="17" t="n">
        <v>1941</v>
      </c>
      <c r="B942" s="17" t="n">
        <v>26</v>
      </c>
      <c r="C942" s="17" t="n">
        <v>12</v>
      </c>
      <c r="D942" s="17" t="n">
        <v>2022</v>
      </c>
      <c r="E942" s="18" t="n">
        <v>0.881643518518519</v>
      </c>
      <c r="F942" s="17" t="n">
        <v>2000</v>
      </c>
      <c r="G942" s="17" t="s">
        <v>200</v>
      </c>
      <c r="H942" s="17" t="s">
        <v>201</v>
      </c>
      <c r="I942" s="17" t="s">
        <v>113</v>
      </c>
      <c r="J942" s="17" t="s">
        <v>202</v>
      </c>
      <c r="K942" s="17" t="n">
        <v>28</v>
      </c>
      <c r="L942" s="17" t="s">
        <v>31</v>
      </c>
      <c r="M942" s="17" t="s">
        <v>32</v>
      </c>
      <c r="N942" s="19" t="n">
        <v>7.76</v>
      </c>
      <c r="O942" s="19" t="n">
        <v>217.28</v>
      </c>
      <c r="P942" s="17" t="s">
        <v>33</v>
      </c>
      <c r="Q942" s="20" t="n">
        <f aca="false">DATE(D942,C942,B942)</f>
        <v>44921</v>
      </c>
      <c r="R942" s="17" t="str">
        <f aca="false">IF(HOUR(E942)&lt;6,"Madrugada (0-5 h)",IF(HOUR(E942)&lt;12,"Mañana (6-11 h)",IF(HOUR(E942)&lt;18,"Tarde (12-17 h)","Noche (18-23 h)")))</f>
        <v>Noche (18-23 h)</v>
      </c>
    </row>
    <row r="943" customFormat="false" ht="15" hidden="false" customHeight="false" outlineLevel="0" collapsed="false">
      <c r="A943" s="17" t="n">
        <v>1942</v>
      </c>
      <c r="B943" s="17" t="n">
        <v>1</v>
      </c>
      <c r="C943" s="17" t="n">
        <v>11</v>
      </c>
      <c r="D943" s="17" t="n">
        <v>2021</v>
      </c>
      <c r="E943" s="18" t="n">
        <v>0.325162037037037</v>
      </c>
      <c r="F943" s="17" t="n">
        <v>3448</v>
      </c>
      <c r="G943" s="17" t="s">
        <v>203</v>
      </c>
      <c r="H943" s="17" t="s">
        <v>486</v>
      </c>
      <c r="I943" s="17" t="s">
        <v>205</v>
      </c>
      <c r="J943" s="17" t="s">
        <v>206</v>
      </c>
      <c r="K943" s="17" t="n">
        <v>33</v>
      </c>
      <c r="L943" s="17" t="s">
        <v>42</v>
      </c>
      <c r="M943" s="17" t="s">
        <v>32</v>
      </c>
      <c r="N943" s="19" t="n">
        <v>8.87</v>
      </c>
      <c r="O943" s="19" t="n">
        <v>292.71</v>
      </c>
      <c r="P943" s="17" t="s">
        <v>33</v>
      </c>
      <c r="Q943" s="20" t="n">
        <f aca="false">DATE(D943,C943,B943)</f>
        <v>44501</v>
      </c>
      <c r="R943" s="17" t="str">
        <f aca="false">IF(HOUR(E943)&lt;6,"Madrugada (0-5 h)",IF(HOUR(E943)&lt;12,"Mañana (6-11 h)",IF(HOUR(E943)&lt;18,"Tarde (12-17 h)","Noche (18-23 h)")))</f>
        <v>Mañana (6-11 h)</v>
      </c>
    </row>
    <row r="944" customFormat="false" ht="15" hidden="false" customHeight="false" outlineLevel="0" collapsed="false">
      <c r="A944" s="17" t="n">
        <v>1943</v>
      </c>
      <c r="B944" s="17" t="n">
        <v>12</v>
      </c>
      <c r="C944" s="17" t="n">
        <v>7</v>
      </c>
      <c r="D944" s="17" t="n">
        <v>2021</v>
      </c>
      <c r="E944" s="18" t="n">
        <v>0.44912037037037</v>
      </c>
      <c r="F944" s="17" t="n">
        <v>4754</v>
      </c>
      <c r="G944" s="17" t="s">
        <v>207</v>
      </c>
      <c r="H944" s="17" t="s">
        <v>208</v>
      </c>
      <c r="I944" s="17" t="s">
        <v>209</v>
      </c>
      <c r="J944" s="17" t="s">
        <v>210</v>
      </c>
      <c r="K944" s="17" t="n">
        <v>8</v>
      </c>
      <c r="L944" s="17" t="s">
        <v>31</v>
      </c>
      <c r="M944" s="17" t="s">
        <v>32</v>
      </c>
      <c r="N944" s="19" t="n">
        <v>4.5</v>
      </c>
      <c r="O944" s="19" t="n">
        <v>36</v>
      </c>
      <c r="P944" s="17" t="s">
        <v>33</v>
      </c>
      <c r="Q944" s="20" t="n">
        <f aca="false">DATE(D944,C944,B944)</f>
        <v>44389</v>
      </c>
      <c r="R944" s="17" t="str">
        <f aca="false">IF(HOUR(E944)&lt;6,"Madrugada (0-5 h)",IF(HOUR(E944)&lt;12,"Mañana (6-11 h)",IF(HOUR(E944)&lt;18,"Tarde (12-17 h)","Noche (18-23 h)")))</f>
        <v>Mañana (6-11 h)</v>
      </c>
    </row>
    <row r="945" customFormat="false" ht="15" hidden="false" customHeight="false" outlineLevel="0" collapsed="false">
      <c r="A945" s="17" t="n">
        <v>1944</v>
      </c>
      <c r="B945" s="17" t="n">
        <v>18</v>
      </c>
      <c r="C945" s="17" t="n">
        <v>5</v>
      </c>
      <c r="D945" s="17" t="n">
        <v>2022</v>
      </c>
      <c r="E945" s="18" t="n">
        <v>0.594594907407407</v>
      </c>
      <c r="F945" s="17" t="n">
        <v>1800</v>
      </c>
      <c r="G945" s="17" t="s">
        <v>211</v>
      </c>
      <c r="H945" s="17" t="s">
        <v>212</v>
      </c>
      <c r="I945" s="17" t="s">
        <v>213</v>
      </c>
      <c r="J945" s="17" t="s">
        <v>214</v>
      </c>
      <c r="K945" s="17" t="n">
        <v>23</v>
      </c>
      <c r="L945" s="17" t="s">
        <v>31</v>
      </c>
      <c r="M945" s="17" t="s">
        <v>32</v>
      </c>
      <c r="N945" s="19" t="n">
        <v>8.98</v>
      </c>
      <c r="O945" s="19" t="n">
        <v>206.54</v>
      </c>
      <c r="P945" s="17" t="s">
        <v>33</v>
      </c>
      <c r="Q945" s="20" t="n">
        <f aca="false">DATE(D945,C945,B945)</f>
        <v>44699</v>
      </c>
      <c r="R945" s="17" t="str">
        <f aca="false">IF(HOUR(E945)&lt;6,"Madrugada (0-5 h)",IF(HOUR(E945)&lt;12,"Mañana (6-11 h)",IF(HOUR(E945)&lt;18,"Tarde (12-17 h)","Noche (18-23 h)")))</f>
        <v>Tarde (12-17 h)</v>
      </c>
    </row>
    <row r="946" customFormat="false" ht="15" hidden="false" customHeight="false" outlineLevel="0" collapsed="false">
      <c r="A946" s="17" t="n">
        <v>1945</v>
      </c>
      <c r="B946" s="17" t="n">
        <v>14</v>
      </c>
      <c r="C946" s="17" t="n">
        <v>4</v>
      </c>
      <c r="D946" s="17" t="n">
        <v>2022</v>
      </c>
      <c r="E946" s="18" t="n">
        <v>0.219328703703704</v>
      </c>
      <c r="F946" s="17" t="n">
        <v>2774</v>
      </c>
      <c r="G946" s="17" t="s">
        <v>215</v>
      </c>
      <c r="H946" s="17" t="s">
        <v>197</v>
      </c>
      <c r="I946" s="17" t="s">
        <v>198</v>
      </c>
      <c r="J946" s="17" t="s">
        <v>199</v>
      </c>
      <c r="K946" s="17" t="n">
        <v>15</v>
      </c>
      <c r="L946" s="17" t="s">
        <v>31</v>
      </c>
      <c r="M946" s="17" t="s">
        <v>32</v>
      </c>
      <c r="N946" s="19" t="n">
        <v>5.87</v>
      </c>
      <c r="O946" s="19" t="n">
        <v>88.05</v>
      </c>
      <c r="P946" s="17" t="s">
        <v>33</v>
      </c>
      <c r="Q946" s="20" t="n">
        <f aca="false">DATE(D946,C946,B946)</f>
        <v>44665</v>
      </c>
      <c r="R946" s="17" t="str">
        <f aca="false">IF(HOUR(E946)&lt;6,"Madrugada (0-5 h)",IF(HOUR(E946)&lt;12,"Mañana (6-11 h)",IF(HOUR(E946)&lt;18,"Tarde (12-17 h)","Noche (18-23 h)")))</f>
        <v>Madrugada (0-5 h)</v>
      </c>
    </row>
    <row r="947" customFormat="false" ht="15" hidden="false" customHeight="false" outlineLevel="0" collapsed="false">
      <c r="A947" s="17" t="n">
        <v>1946</v>
      </c>
      <c r="B947" s="17" t="n">
        <v>10</v>
      </c>
      <c r="C947" s="17" t="n">
        <v>11</v>
      </c>
      <c r="D947" s="17" t="n">
        <v>2022</v>
      </c>
      <c r="E947" s="18" t="n">
        <v>0.543240740740741</v>
      </c>
      <c r="F947" s="17" t="n">
        <v>4645</v>
      </c>
      <c r="G947" s="17" t="s">
        <v>216</v>
      </c>
      <c r="H947" s="17" t="s">
        <v>217</v>
      </c>
      <c r="I947" s="17" t="s">
        <v>218</v>
      </c>
      <c r="J947" s="17" t="s">
        <v>219</v>
      </c>
      <c r="K947" s="17" t="n">
        <v>15</v>
      </c>
      <c r="L947" s="17" t="s">
        <v>98</v>
      </c>
      <c r="M947" s="17" t="s">
        <v>62</v>
      </c>
      <c r="N947" s="19" t="n">
        <v>2.31</v>
      </c>
      <c r="O947" s="19" t="n">
        <v>34.65</v>
      </c>
      <c r="P947" s="17" t="s">
        <v>33</v>
      </c>
      <c r="Q947" s="20" t="n">
        <f aca="false">DATE(D947,C947,B947)</f>
        <v>44875</v>
      </c>
      <c r="R947" s="17" t="str">
        <f aca="false">IF(HOUR(E947)&lt;6,"Madrugada (0-5 h)",IF(HOUR(E947)&lt;12,"Mañana (6-11 h)",IF(HOUR(E947)&lt;18,"Tarde (12-17 h)","Noche (18-23 h)")))</f>
        <v>Tarde (12-17 h)</v>
      </c>
    </row>
    <row r="948" customFormat="false" ht="15" hidden="false" customHeight="false" outlineLevel="0" collapsed="false">
      <c r="A948" s="17" t="n">
        <v>1947</v>
      </c>
      <c r="B948" s="17" t="n">
        <v>21</v>
      </c>
      <c r="C948" s="17" t="n">
        <v>10</v>
      </c>
      <c r="D948" s="17" t="n">
        <v>2022</v>
      </c>
      <c r="E948" s="18" t="n">
        <v>0.975497685185185</v>
      </c>
      <c r="F948" s="17" t="n">
        <v>3852</v>
      </c>
      <c r="G948" s="17" t="s">
        <v>220</v>
      </c>
      <c r="H948" s="17" t="s">
        <v>221</v>
      </c>
      <c r="I948" s="17" t="s">
        <v>222</v>
      </c>
      <c r="J948" s="17" t="s">
        <v>223</v>
      </c>
      <c r="K948" s="17" t="n">
        <v>42</v>
      </c>
      <c r="L948" s="17" t="s">
        <v>31</v>
      </c>
      <c r="M948" s="17" t="s">
        <v>32</v>
      </c>
      <c r="N948" s="19" t="n">
        <v>6.53</v>
      </c>
      <c r="O948" s="19" t="n">
        <v>274.26</v>
      </c>
      <c r="P948" s="17" t="s">
        <v>33</v>
      </c>
      <c r="Q948" s="20" t="n">
        <f aca="false">DATE(D948,C948,B948)</f>
        <v>44855</v>
      </c>
      <c r="R948" s="17" t="str">
        <f aca="false">IF(HOUR(E948)&lt;6,"Madrugada (0-5 h)",IF(HOUR(E948)&lt;12,"Mañana (6-11 h)",IF(HOUR(E948)&lt;18,"Tarde (12-17 h)","Noche (18-23 h)")))</f>
        <v>Noche (18-23 h)</v>
      </c>
    </row>
    <row r="949" customFormat="false" ht="15" hidden="false" customHeight="false" outlineLevel="0" collapsed="false">
      <c r="A949" s="17" t="n">
        <v>1948</v>
      </c>
      <c r="B949" s="17" t="n">
        <v>15</v>
      </c>
      <c r="C949" s="17" t="n">
        <v>5</v>
      </c>
      <c r="D949" s="17" t="n">
        <v>2021</v>
      </c>
      <c r="E949" s="18" t="n">
        <v>0.425891203703704</v>
      </c>
      <c r="F949" s="17" t="n">
        <v>3594</v>
      </c>
      <c r="G949" s="17" t="s">
        <v>224</v>
      </c>
      <c r="H949" s="17" t="s">
        <v>225</v>
      </c>
      <c r="I949" s="17" t="s">
        <v>222</v>
      </c>
      <c r="J949" s="17" t="s">
        <v>223</v>
      </c>
      <c r="K949" s="17" t="n">
        <v>34</v>
      </c>
      <c r="L949" s="17" t="s">
        <v>31</v>
      </c>
      <c r="M949" s="17" t="s">
        <v>32</v>
      </c>
      <c r="N949" s="19" t="n">
        <v>2.45</v>
      </c>
      <c r="O949" s="19" t="n">
        <v>83.3</v>
      </c>
      <c r="P949" s="17" t="s">
        <v>33</v>
      </c>
      <c r="Q949" s="20" t="n">
        <f aca="false">DATE(D949,C949,B949)</f>
        <v>44331</v>
      </c>
      <c r="R949" s="17" t="str">
        <f aca="false">IF(HOUR(E949)&lt;6,"Madrugada (0-5 h)",IF(HOUR(E949)&lt;12,"Mañana (6-11 h)",IF(HOUR(E949)&lt;18,"Tarde (12-17 h)","Noche (18-23 h)")))</f>
        <v>Mañana (6-11 h)</v>
      </c>
    </row>
    <row r="950" customFormat="false" ht="15" hidden="false" customHeight="false" outlineLevel="0" collapsed="false">
      <c r="A950" s="17" t="n">
        <v>1949</v>
      </c>
      <c r="B950" s="17" t="n">
        <v>13</v>
      </c>
      <c r="C950" s="17" t="n">
        <v>5</v>
      </c>
      <c r="D950" s="17" t="n">
        <v>2021</v>
      </c>
      <c r="E950" s="18" t="n">
        <v>0.1196875</v>
      </c>
      <c r="F950" s="17" t="n">
        <v>1191</v>
      </c>
      <c r="G950" s="17" t="s">
        <v>226</v>
      </c>
      <c r="H950" s="17" t="s">
        <v>227</v>
      </c>
      <c r="I950" s="17" t="s">
        <v>228</v>
      </c>
      <c r="J950" s="17" t="s">
        <v>229</v>
      </c>
      <c r="K950" s="17" t="n">
        <v>31</v>
      </c>
      <c r="L950" s="17" t="s">
        <v>125</v>
      </c>
      <c r="M950" s="17" t="s">
        <v>76</v>
      </c>
      <c r="N950" s="19" t="n">
        <v>3.03</v>
      </c>
      <c r="O950" s="19" t="n">
        <v>93.93</v>
      </c>
      <c r="P950" s="17" t="s">
        <v>33</v>
      </c>
      <c r="Q950" s="20" t="n">
        <f aca="false">DATE(D950,C950,B950)</f>
        <v>44329</v>
      </c>
      <c r="R950" s="17" t="str">
        <f aca="false">IF(HOUR(E950)&lt;6,"Madrugada (0-5 h)",IF(HOUR(E950)&lt;12,"Mañana (6-11 h)",IF(HOUR(E950)&lt;18,"Tarde (12-17 h)","Noche (18-23 h)")))</f>
        <v>Madrugada (0-5 h)</v>
      </c>
    </row>
    <row r="951" customFormat="false" ht="15" hidden="false" customHeight="false" outlineLevel="0" collapsed="false">
      <c r="A951" s="17" t="n">
        <v>1950</v>
      </c>
      <c r="B951" s="17" t="n">
        <v>4</v>
      </c>
      <c r="C951" s="17" t="n">
        <v>4</v>
      </c>
      <c r="D951" s="17" t="n">
        <v>2021</v>
      </c>
      <c r="E951" s="18" t="n">
        <v>0.73443287037037</v>
      </c>
      <c r="F951" s="17" t="n">
        <v>2004</v>
      </c>
      <c r="G951" s="17" t="s">
        <v>230</v>
      </c>
      <c r="H951" s="17" t="s">
        <v>231</v>
      </c>
      <c r="I951" s="17" t="s">
        <v>232</v>
      </c>
      <c r="J951" s="17" t="s">
        <v>233</v>
      </c>
      <c r="K951" s="17" t="n">
        <v>39</v>
      </c>
      <c r="L951" s="17" t="s">
        <v>81</v>
      </c>
      <c r="M951" s="17" t="s">
        <v>76</v>
      </c>
      <c r="N951" s="19" t="n">
        <v>5.42</v>
      </c>
      <c r="O951" s="19" t="n">
        <v>211.38</v>
      </c>
      <c r="P951" s="17" t="s">
        <v>33</v>
      </c>
      <c r="Q951" s="20" t="n">
        <f aca="false">DATE(D951,C951,B951)</f>
        <v>44290</v>
      </c>
      <c r="R951" s="17" t="str">
        <f aca="false">IF(HOUR(E951)&lt;6,"Madrugada (0-5 h)",IF(HOUR(E951)&lt;12,"Mañana (6-11 h)",IF(HOUR(E951)&lt;18,"Tarde (12-17 h)","Noche (18-23 h)")))</f>
        <v>Tarde (12-17 h)</v>
      </c>
    </row>
    <row r="952" customFormat="false" ht="15" hidden="false" customHeight="false" outlineLevel="0" collapsed="false">
      <c r="A952" s="17" t="n">
        <v>1951</v>
      </c>
      <c r="B952" s="17" t="n">
        <v>5</v>
      </c>
      <c r="C952" s="17" t="n">
        <v>3</v>
      </c>
      <c r="D952" s="17" t="n">
        <v>2022</v>
      </c>
      <c r="E952" s="18" t="n">
        <v>0.498784722222222</v>
      </c>
      <c r="F952" s="17" t="n">
        <v>3663</v>
      </c>
      <c r="G952" s="17" t="s">
        <v>234</v>
      </c>
      <c r="H952" s="17" t="s">
        <v>235</v>
      </c>
      <c r="I952" s="17" t="s">
        <v>236</v>
      </c>
      <c r="J952" s="17" t="s">
        <v>237</v>
      </c>
      <c r="K952" s="17" t="n">
        <v>2</v>
      </c>
      <c r="L952" s="17" t="s">
        <v>81</v>
      </c>
      <c r="M952" s="17" t="s">
        <v>82</v>
      </c>
      <c r="N952" s="19" t="n">
        <v>25.45</v>
      </c>
      <c r="O952" s="19" t="n">
        <v>50.9</v>
      </c>
      <c r="P952" s="17" t="s">
        <v>33</v>
      </c>
      <c r="Q952" s="20" t="n">
        <f aca="false">DATE(D952,C952,B952)</f>
        <v>44625</v>
      </c>
      <c r="R952" s="17" t="str">
        <f aca="false">IF(HOUR(E952)&lt;6,"Madrugada (0-5 h)",IF(HOUR(E952)&lt;12,"Mañana (6-11 h)",IF(HOUR(E952)&lt;18,"Tarde (12-17 h)","Noche (18-23 h)")))</f>
        <v>Mañana (6-11 h)</v>
      </c>
    </row>
    <row r="953" customFormat="false" ht="15" hidden="false" customHeight="false" outlineLevel="0" collapsed="false">
      <c r="A953" s="17" t="n">
        <v>1952</v>
      </c>
      <c r="B953" s="17" t="n">
        <v>15</v>
      </c>
      <c r="C953" s="17" t="n">
        <v>8</v>
      </c>
      <c r="D953" s="17" t="n">
        <v>2022</v>
      </c>
      <c r="E953" s="18" t="n">
        <v>0.272106481481482</v>
      </c>
      <c r="F953" s="17" t="n">
        <v>4310</v>
      </c>
      <c r="G953" s="17" t="s">
        <v>238</v>
      </c>
      <c r="H953" s="17" t="s">
        <v>239</v>
      </c>
      <c r="I953" s="17" t="s">
        <v>240</v>
      </c>
      <c r="J953" s="17" t="s">
        <v>241</v>
      </c>
      <c r="K953" s="17" t="n">
        <v>35</v>
      </c>
      <c r="L953" s="17" t="s">
        <v>81</v>
      </c>
      <c r="M953" s="17" t="s">
        <v>82</v>
      </c>
      <c r="N953" s="19" t="n">
        <v>18.05</v>
      </c>
      <c r="O953" s="19" t="n">
        <v>631.75</v>
      </c>
      <c r="P953" s="17" t="s">
        <v>33</v>
      </c>
      <c r="Q953" s="20" t="n">
        <f aca="false">DATE(D953,C953,B953)</f>
        <v>44788</v>
      </c>
      <c r="R953" s="17" t="str">
        <f aca="false">IF(HOUR(E953)&lt;6,"Madrugada (0-5 h)",IF(HOUR(E953)&lt;12,"Mañana (6-11 h)",IF(HOUR(E953)&lt;18,"Tarde (12-17 h)","Noche (18-23 h)")))</f>
        <v>Mañana (6-11 h)</v>
      </c>
    </row>
    <row r="954" customFormat="false" ht="15" hidden="false" customHeight="false" outlineLevel="0" collapsed="false">
      <c r="A954" s="17" t="n">
        <v>1953</v>
      </c>
      <c r="B954" s="17" t="n">
        <v>2</v>
      </c>
      <c r="C954" s="17" t="n">
        <v>10</v>
      </c>
      <c r="D954" s="17" t="n">
        <v>2022</v>
      </c>
      <c r="E954" s="18" t="n">
        <v>0.0540046296296296</v>
      </c>
      <c r="F954" s="17" t="n">
        <v>1045</v>
      </c>
      <c r="G954" s="17" t="s">
        <v>242</v>
      </c>
      <c r="H954" s="17" t="s">
        <v>243</v>
      </c>
      <c r="I954" s="17" t="s">
        <v>244</v>
      </c>
      <c r="J954" s="17" t="s">
        <v>245</v>
      </c>
      <c r="K954" s="17" t="n">
        <v>20</v>
      </c>
      <c r="L954" s="17" t="s">
        <v>81</v>
      </c>
      <c r="M954" s="17" t="s">
        <v>76</v>
      </c>
      <c r="N954" s="19" t="n">
        <v>5.38</v>
      </c>
      <c r="O954" s="19" t="n">
        <v>107.6</v>
      </c>
      <c r="P954" s="17" t="s">
        <v>33</v>
      </c>
      <c r="Q954" s="20" t="n">
        <f aca="false">DATE(D954,C954,B954)</f>
        <v>44836</v>
      </c>
      <c r="R954" s="17" t="str">
        <f aca="false">IF(HOUR(E954)&lt;6,"Madrugada (0-5 h)",IF(HOUR(E954)&lt;12,"Mañana (6-11 h)",IF(HOUR(E954)&lt;18,"Tarde (12-17 h)","Noche (18-23 h)")))</f>
        <v>Madrugada (0-5 h)</v>
      </c>
    </row>
    <row r="955" customFormat="false" ht="15" hidden="false" customHeight="false" outlineLevel="0" collapsed="false">
      <c r="A955" s="17" t="n">
        <v>1954</v>
      </c>
      <c r="B955" s="17" t="n">
        <v>28</v>
      </c>
      <c r="C955" s="17" t="n">
        <v>4</v>
      </c>
      <c r="D955" s="17" t="n">
        <v>2022</v>
      </c>
      <c r="E955" s="18" t="n">
        <v>0.257326388888889</v>
      </c>
      <c r="F955" s="17" t="n">
        <v>3990</v>
      </c>
      <c r="G955" s="17" t="s">
        <v>246</v>
      </c>
      <c r="H955" s="17" t="s">
        <v>487</v>
      </c>
      <c r="I955" s="17" t="s">
        <v>244</v>
      </c>
      <c r="J955" s="17" t="s">
        <v>248</v>
      </c>
      <c r="K955" s="17" t="n">
        <v>2</v>
      </c>
      <c r="L955" s="17" t="s">
        <v>81</v>
      </c>
      <c r="M955" s="17" t="s">
        <v>76</v>
      </c>
      <c r="N955" s="19" t="n">
        <v>9.89</v>
      </c>
      <c r="O955" s="19" t="n">
        <v>19.78</v>
      </c>
      <c r="P955" s="17" t="s">
        <v>33</v>
      </c>
      <c r="Q955" s="20" t="n">
        <f aca="false">DATE(D955,C955,B955)</f>
        <v>44679</v>
      </c>
      <c r="R955" s="17" t="str">
        <f aca="false">IF(HOUR(E955)&lt;6,"Madrugada (0-5 h)",IF(HOUR(E955)&lt;12,"Mañana (6-11 h)",IF(HOUR(E955)&lt;18,"Tarde (12-17 h)","Noche (18-23 h)")))</f>
        <v>Mañana (6-11 h)</v>
      </c>
    </row>
    <row r="956" customFormat="false" ht="15" hidden="false" customHeight="false" outlineLevel="0" collapsed="false">
      <c r="A956" s="17" t="n">
        <v>1955</v>
      </c>
      <c r="B956" s="17" t="n">
        <v>7</v>
      </c>
      <c r="C956" s="17" t="n">
        <v>7</v>
      </c>
      <c r="D956" s="17" t="n">
        <v>2022</v>
      </c>
      <c r="E956" s="18" t="n">
        <v>0.675115740740741</v>
      </c>
      <c r="F956" s="17" t="n">
        <v>2017</v>
      </c>
      <c r="G956" s="17" t="s">
        <v>249</v>
      </c>
      <c r="H956" s="17" t="s">
        <v>250</v>
      </c>
      <c r="I956" s="17" t="s">
        <v>251</v>
      </c>
      <c r="J956" s="17" t="s">
        <v>252</v>
      </c>
      <c r="K956" s="17" t="n">
        <v>22</v>
      </c>
      <c r="L956" s="17" t="s">
        <v>125</v>
      </c>
      <c r="M956" s="17" t="s">
        <v>82</v>
      </c>
      <c r="N956" s="19" t="n">
        <v>25.45</v>
      </c>
      <c r="O956" s="19" t="n">
        <v>559.9</v>
      </c>
      <c r="P956" s="17" t="s">
        <v>33</v>
      </c>
      <c r="Q956" s="20" t="n">
        <f aca="false">DATE(D956,C956,B956)</f>
        <v>44749</v>
      </c>
      <c r="R956" s="17" t="str">
        <f aca="false">IF(HOUR(E956)&lt;6,"Madrugada (0-5 h)",IF(HOUR(E956)&lt;12,"Mañana (6-11 h)",IF(HOUR(E956)&lt;18,"Tarde (12-17 h)","Noche (18-23 h)")))</f>
        <v>Tarde (12-17 h)</v>
      </c>
    </row>
    <row r="957" customFormat="false" ht="15" hidden="false" customHeight="false" outlineLevel="0" collapsed="false">
      <c r="A957" s="17" t="n">
        <v>1956</v>
      </c>
      <c r="B957" s="17" t="n">
        <v>2</v>
      </c>
      <c r="C957" s="17" t="n">
        <v>2</v>
      </c>
      <c r="D957" s="17" t="n">
        <v>2021</v>
      </c>
      <c r="E957" s="18" t="n">
        <v>0.359953703703704</v>
      </c>
      <c r="F957" s="17" t="n">
        <v>2189</v>
      </c>
      <c r="G957" s="17" t="s">
        <v>253</v>
      </c>
      <c r="H957" s="17" t="s">
        <v>250</v>
      </c>
      <c r="I957" s="17" t="s">
        <v>254</v>
      </c>
      <c r="J957" s="17" t="s">
        <v>255</v>
      </c>
      <c r="K957" s="17" t="n">
        <v>39</v>
      </c>
      <c r="L957" s="17" t="s">
        <v>125</v>
      </c>
      <c r="M957" s="17" t="s">
        <v>82</v>
      </c>
      <c r="N957" s="19" t="n">
        <v>16.34</v>
      </c>
      <c r="O957" s="19" t="n">
        <v>637.26</v>
      </c>
      <c r="P957" s="17" t="s">
        <v>33</v>
      </c>
      <c r="Q957" s="20" t="n">
        <f aca="false">DATE(D957,C957,B957)</f>
        <v>44229</v>
      </c>
      <c r="R957" s="17" t="str">
        <f aca="false">IF(HOUR(E957)&lt;6,"Madrugada (0-5 h)",IF(HOUR(E957)&lt;12,"Mañana (6-11 h)",IF(HOUR(E957)&lt;18,"Tarde (12-17 h)","Noche (18-23 h)")))</f>
        <v>Mañana (6-11 h)</v>
      </c>
    </row>
    <row r="958" customFormat="false" ht="15" hidden="false" customHeight="false" outlineLevel="0" collapsed="false">
      <c r="A958" s="17" t="n">
        <v>1957</v>
      </c>
      <c r="B958" s="17" t="n">
        <v>13</v>
      </c>
      <c r="C958" s="17" t="n">
        <v>2</v>
      </c>
      <c r="D958" s="17" t="n">
        <v>2021</v>
      </c>
      <c r="E958" s="18" t="n">
        <v>0.239930555555556</v>
      </c>
      <c r="F958" s="17" t="n">
        <v>4765</v>
      </c>
      <c r="G958" s="17" t="s">
        <v>256</v>
      </c>
      <c r="H958" s="17" t="s">
        <v>257</v>
      </c>
      <c r="I958" s="17" t="s">
        <v>258</v>
      </c>
      <c r="J958" s="17" t="s">
        <v>259</v>
      </c>
      <c r="K958" s="17" t="n">
        <v>38</v>
      </c>
      <c r="L958" s="17" t="s">
        <v>125</v>
      </c>
      <c r="M958" s="17" t="s">
        <v>82</v>
      </c>
      <c r="N958" s="19" t="n">
        <v>13.32</v>
      </c>
      <c r="O958" s="19" t="n">
        <v>506.16</v>
      </c>
      <c r="P958" s="17" t="s">
        <v>33</v>
      </c>
      <c r="Q958" s="20" t="n">
        <f aca="false">DATE(D958,C958,B958)</f>
        <v>44240</v>
      </c>
      <c r="R958" s="17" t="str">
        <f aca="false">IF(HOUR(E958)&lt;6,"Madrugada (0-5 h)",IF(HOUR(E958)&lt;12,"Mañana (6-11 h)",IF(HOUR(E958)&lt;18,"Tarde (12-17 h)","Noche (18-23 h)")))</f>
        <v>Madrugada (0-5 h)</v>
      </c>
    </row>
    <row r="959" customFormat="false" ht="15" hidden="false" customHeight="false" outlineLevel="0" collapsed="false">
      <c r="A959" s="17" t="n">
        <v>1958</v>
      </c>
      <c r="B959" s="17" t="n">
        <v>16</v>
      </c>
      <c r="C959" s="17" t="n">
        <v>9</v>
      </c>
      <c r="D959" s="17" t="n">
        <v>2021</v>
      </c>
      <c r="E959" s="18" t="n">
        <v>0.796064814814815</v>
      </c>
      <c r="F959" s="17" t="n">
        <v>4793</v>
      </c>
      <c r="G959" s="17" t="s">
        <v>260</v>
      </c>
      <c r="H959" s="17" t="s">
        <v>261</v>
      </c>
      <c r="I959" s="17" t="s">
        <v>262</v>
      </c>
      <c r="J959" s="17" t="s">
        <v>263</v>
      </c>
      <c r="K959" s="17" t="n">
        <v>42</v>
      </c>
      <c r="L959" s="17" t="s">
        <v>125</v>
      </c>
      <c r="M959" s="17" t="s">
        <v>82</v>
      </c>
      <c r="N959" s="19" t="n">
        <v>10.1</v>
      </c>
      <c r="O959" s="19" t="n">
        <v>424.2</v>
      </c>
      <c r="P959" s="17" t="s">
        <v>33</v>
      </c>
      <c r="Q959" s="20" t="n">
        <f aca="false">DATE(D959,C959,B959)</f>
        <v>44455</v>
      </c>
      <c r="R959" s="17" t="str">
        <f aca="false">IF(HOUR(E959)&lt;6,"Madrugada (0-5 h)",IF(HOUR(E959)&lt;12,"Mañana (6-11 h)",IF(HOUR(E959)&lt;18,"Tarde (12-17 h)","Noche (18-23 h)")))</f>
        <v>Noche (18-23 h)</v>
      </c>
    </row>
    <row r="960" customFormat="false" ht="15" hidden="false" customHeight="false" outlineLevel="0" collapsed="false">
      <c r="A960" s="17" t="n">
        <v>1959</v>
      </c>
      <c r="B960" s="17" t="n">
        <v>13</v>
      </c>
      <c r="C960" s="17" t="n">
        <v>2</v>
      </c>
      <c r="D960" s="17" t="n">
        <v>2021</v>
      </c>
      <c r="E960" s="18" t="n">
        <v>0.240543981481482</v>
      </c>
      <c r="F960" s="17" t="n">
        <v>1508</v>
      </c>
      <c r="G960" s="17" t="s">
        <v>264</v>
      </c>
      <c r="H960" s="17" t="s">
        <v>488</v>
      </c>
      <c r="I960" s="17" t="s">
        <v>266</v>
      </c>
      <c r="J960" s="17" t="s">
        <v>129</v>
      </c>
      <c r="K960" s="17" t="n">
        <v>13</v>
      </c>
      <c r="L960" s="17" t="s">
        <v>61</v>
      </c>
      <c r="M960" s="17" t="s">
        <v>32</v>
      </c>
      <c r="N960" s="19" t="n">
        <v>4.56</v>
      </c>
      <c r="O960" s="19" t="n">
        <v>59.28</v>
      </c>
      <c r="P960" s="17" t="s">
        <v>33</v>
      </c>
      <c r="Q960" s="20" t="n">
        <f aca="false">DATE(D960,C960,B960)</f>
        <v>44240</v>
      </c>
      <c r="R960" s="17" t="str">
        <f aca="false">IF(HOUR(E960)&lt;6,"Madrugada (0-5 h)",IF(HOUR(E960)&lt;12,"Mañana (6-11 h)",IF(HOUR(E960)&lt;18,"Tarde (12-17 h)","Noche (18-23 h)")))</f>
        <v>Madrugada (0-5 h)</v>
      </c>
    </row>
    <row r="961" customFormat="false" ht="15" hidden="false" customHeight="false" outlineLevel="0" collapsed="false">
      <c r="A961" s="17" t="n">
        <v>1960</v>
      </c>
      <c r="B961" s="17" t="n">
        <v>12</v>
      </c>
      <c r="C961" s="17" t="n">
        <v>1</v>
      </c>
      <c r="D961" s="17" t="n">
        <v>2022</v>
      </c>
      <c r="E961" s="18" t="n">
        <v>0.194641203703704</v>
      </c>
      <c r="F961" s="17" t="n">
        <v>3462</v>
      </c>
      <c r="G961" s="17" t="s">
        <v>267</v>
      </c>
      <c r="H961" s="17" t="s">
        <v>267</v>
      </c>
      <c r="I961" s="17" t="s">
        <v>93</v>
      </c>
      <c r="J961" s="17" t="s">
        <v>268</v>
      </c>
      <c r="K961" s="17" t="n">
        <v>40</v>
      </c>
      <c r="L961" s="17" t="s">
        <v>61</v>
      </c>
      <c r="M961" s="17" t="s">
        <v>32</v>
      </c>
      <c r="N961" s="19" t="n">
        <v>5.56</v>
      </c>
      <c r="O961" s="19" t="n">
        <v>222.4</v>
      </c>
      <c r="P961" s="17" t="s">
        <v>33</v>
      </c>
      <c r="Q961" s="20" t="n">
        <f aca="false">DATE(D961,C961,B961)</f>
        <v>44573</v>
      </c>
      <c r="R961" s="17" t="str">
        <f aca="false">IF(HOUR(E961)&lt;6,"Madrugada (0-5 h)",IF(HOUR(E961)&lt;12,"Mañana (6-11 h)",IF(HOUR(E961)&lt;18,"Tarde (12-17 h)","Noche (18-23 h)")))</f>
        <v>Madrugada (0-5 h)</v>
      </c>
    </row>
    <row r="962" customFormat="false" ht="15" hidden="false" customHeight="false" outlineLevel="0" collapsed="false">
      <c r="A962" s="17" t="n">
        <v>1961</v>
      </c>
      <c r="B962" s="17" t="n">
        <v>22</v>
      </c>
      <c r="C962" s="17" t="n">
        <v>10</v>
      </c>
      <c r="D962" s="17" t="n">
        <v>2022</v>
      </c>
      <c r="E962" s="18" t="n">
        <v>0.7584375</v>
      </c>
      <c r="F962" s="17" t="n">
        <v>4366</v>
      </c>
      <c r="G962" s="17" t="s">
        <v>269</v>
      </c>
      <c r="H962" s="17" t="s">
        <v>270</v>
      </c>
      <c r="I962" s="17" t="s">
        <v>271</v>
      </c>
      <c r="J962" s="17" t="s">
        <v>272</v>
      </c>
      <c r="K962" s="17" t="n">
        <v>20</v>
      </c>
      <c r="L962" s="17" t="s">
        <v>61</v>
      </c>
      <c r="M962" s="17" t="s">
        <v>32</v>
      </c>
      <c r="N962" s="19" t="n">
        <v>3.43</v>
      </c>
      <c r="O962" s="19" t="n">
        <v>68.6</v>
      </c>
      <c r="P962" s="17" t="s">
        <v>33</v>
      </c>
      <c r="Q962" s="20" t="n">
        <f aca="false">DATE(D962,C962,B962)</f>
        <v>44856</v>
      </c>
      <c r="R962" s="17" t="str">
        <f aca="false">IF(HOUR(E962)&lt;6,"Madrugada (0-5 h)",IF(HOUR(E962)&lt;12,"Mañana (6-11 h)",IF(HOUR(E962)&lt;18,"Tarde (12-17 h)","Noche (18-23 h)")))</f>
        <v>Noche (18-23 h)</v>
      </c>
    </row>
    <row r="963" customFormat="false" ht="15" hidden="false" customHeight="false" outlineLevel="0" collapsed="false">
      <c r="A963" s="17" t="n">
        <v>1962</v>
      </c>
      <c r="B963" s="17" t="n">
        <v>26</v>
      </c>
      <c r="C963" s="17" t="n">
        <v>9</v>
      </c>
      <c r="D963" s="17" t="n">
        <v>2021</v>
      </c>
      <c r="E963" s="18" t="n">
        <v>0.692372685185185</v>
      </c>
      <c r="F963" s="17" t="n">
        <v>2063</v>
      </c>
      <c r="G963" s="17" t="s">
        <v>273</v>
      </c>
      <c r="H963" s="17" t="s">
        <v>274</v>
      </c>
      <c r="I963" s="17" t="s">
        <v>275</v>
      </c>
      <c r="J963" s="17" t="s">
        <v>276</v>
      </c>
      <c r="K963" s="17" t="n">
        <v>36</v>
      </c>
      <c r="L963" s="17" t="s">
        <v>31</v>
      </c>
      <c r="M963" s="17" t="s">
        <v>32</v>
      </c>
      <c r="N963" s="19" t="n">
        <v>15.02</v>
      </c>
      <c r="O963" s="19" t="n">
        <v>540.72</v>
      </c>
      <c r="P963" s="17" t="s">
        <v>33</v>
      </c>
      <c r="Q963" s="20" t="n">
        <f aca="false">DATE(D963,C963,B963)</f>
        <v>44465</v>
      </c>
      <c r="R963" s="17" t="str">
        <f aca="false">IF(HOUR(E963)&lt;6,"Madrugada (0-5 h)",IF(HOUR(E963)&lt;12,"Mañana (6-11 h)",IF(HOUR(E963)&lt;18,"Tarde (12-17 h)","Noche (18-23 h)")))</f>
        <v>Tarde (12-17 h)</v>
      </c>
    </row>
    <row r="964" customFormat="false" ht="15" hidden="false" customHeight="false" outlineLevel="0" collapsed="false">
      <c r="A964" s="17" t="n">
        <v>1963</v>
      </c>
      <c r="B964" s="17" t="n">
        <v>4</v>
      </c>
      <c r="C964" s="17" t="n">
        <v>8</v>
      </c>
      <c r="D964" s="17" t="n">
        <v>2021</v>
      </c>
      <c r="E964" s="18" t="n">
        <v>0.221030092592593</v>
      </c>
      <c r="F964" s="17" t="n">
        <v>1993</v>
      </c>
      <c r="G964" s="17" t="s">
        <v>277</v>
      </c>
      <c r="H964" s="17" t="s">
        <v>278</v>
      </c>
      <c r="I964" s="17" t="s">
        <v>279</v>
      </c>
      <c r="J964" s="17" t="s">
        <v>280</v>
      </c>
      <c r="K964" s="17" t="n">
        <v>7</v>
      </c>
      <c r="L964" s="17" t="s">
        <v>31</v>
      </c>
      <c r="M964" s="17" t="s">
        <v>32</v>
      </c>
      <c r="N964" s="19" t="n">
        <v>2.02</v>
      </c>
      <c r="O964" s="19" t="n">
        <v>14.14</v>
      </c>
      <c r="P964" s="17" t="s">
        <v>33</v>
      </c>
      <c r="Q964" s="20" t="n">
        <f aca="false">DATE(D964,C964,B964)</f>
        <v>44412</v>
      </c>
      <c r="R964" s="17" t="str">
        <f aca="false">IF(HOUR(E964)&lt;6,"Madrugada (0-5 h)",IF(HOUR(E964)&lt;12,"Mañana (6-11 h)",IF(HOUR(E964)&lt;18,"Tarde (12-17 h)","Noche (18-23 h)")))</f>
        <v>Madrugada (0-5 h)</v>
      </c>
    </row>
    <row r="965" customFormat="false" ht="15" hidden="false" customHeight="false" outlineLevel="0" collapsed="false">
      <c r="A965" s="17" t="n">
        <v>1964</v>
      </c>
      <c r="B965" s="17" t="n">
        <v>10</v>
      </c>
      <c r="C965" s="17" t="n">
        <v>10</v>
      </c>
      <c r="D965" s="17" t="n">
        <v>2021</v>
      </c>
      <c r="E965" s="18" t="n">
        <v>0.364849537037037</v>
      </c>
      <c r="F965" s="17" t="n">
        <v>3306</v>
      </c>
      <c r="G965" s="17" t="s">
        <v>224</v>
      </c>
      <c r="H965" s="17" t="s">
        <v>224</v>
      </c>
      <c r="I965" s="17" t="s">
        <v>281</v>
      </c>
      <c r="J965" s="17" t="s">
        <v>282</v>
      </c>
      <c r="K965" s="17" t="n">
        <v>39</v>
      </c>
      <c r="L965" s="17" t="s">
        <v>31</v>
      </c>
      <c r="M965" s="17" t="s">
        <v>32</v>
      </c>
      <c r="N965" s="19" t="n">
        <v>2.45</v>
      </c>
      <c r="O965" s="19" t="n">
        <v>95.55</v>
      </c>
      <c r="P965" s="17" t="s">
        <v>33</v>
      </c>
      <c r="Q965" s="20" t="n">
        <f aca="false">DATE(D965,C965,B965)</f>
        <v>44479</v>
      </c>
      <c r="R965" s="17" t="str">
        <f aca="false">IF(HOUR(E965)&lt;6,"Madrugada (0-5 h)",IF(HOUR(E965)&lt;12,"Mañana (6-11 h)",IF(HOUR(E965)&lt;18,"Tarde (12-17 h)","Noche (18-23 h)")))</f>
        <v>Mañana (6-11 h)</v>
      </c>
    </row>
    <row r="966" customFormat="false" ht="15" hidden="false" customHeight="false" outlineLevel="0" collapsed="false">
      <c r="A966" s="17" t="n">
        <v>1965</v>
      </c>
      <c r="B966" s="17" t="n">
        <v>15</v>
      </c>
      <c r="C966" s="17" t="n">
        <v>6</v>
      </c>
      <c r="D966" s="17" t="n">
        <v>2022</v>
      </c>
      <c r="E966" s="18" t="n">
        <v>0.977476851851852</v>
      </c>
      <c r="F966" s="17" t="n">
        <v>4629</v>
      </c>
      <c r="G966" s="17" t="s">
        <v>220</v>
      </c>
      <c r="H966" s="17" t="s">
        <v>221</v>
      </c>
      <c r="I966" s="17" t="s">
        <v>283</v>
      </c>
      <c r="J966" s="17" t="s">
        <v>284</v>
      </c>
      <c r="K966" s="17" t="n">
        <v>26</v>
      </c>
      <c r="L966" s="17" t="s">
        <v>31</v>
      </c>
      <c r="M966" s="17" t="s">
        <v>32</v>
      </c>
      <c r="N966" s="19" t="n">
        <v>6.53</v>
      </c>
      <c r="O966" s="19" t="n">
        <v>169.78</v>
      </c>
      <c r="P966" s="17" t="s">
        <v>33</v>
      </c>
      <c r="Q966" s="20" t="n">
        <f aca="false">DATE(D966,C966,B966)</f>
        <v>44727</v>
      </c>
      <c r="R966" s="17" t="str">
        <f aca="false">IF(HOUR(E966)&lt;6,"Madrugada (0-5 h)",IF(HOUR(E966)&lt;12,"Mañana (6-11 h)",IF(HOUR(E966)&lt;18,"Tarde (12-17 h)","Noche (18-23 h)")))</f>
        <v>Noche (18-23 h)</v>
      </c>
    </row>
    <row r="967" customFormat="false" ht="15" hidden="false" customHeight="false" outlineLevel="0" collapsed="false">
      <c r="A967" s="17" t="n">
        <v>1966</v>
      </c>
      <c r="B967" s="17" t="n">
        <v>1</v>
      </c>
      <c r="C967" s="17" t="n">
        <v>6</v>
      </c>
      <c r="D967" s="17" t="n">
        <v>2021</v>
      </c>
      <c r="E967" s="18" t="n">
        <v>0.667511574074074</v>
      </c>
      <c r="F967" s="17" t="n">
        <v>3233</v>
      </c>
      <c r="G967" s="17" t="s">
        <v>285</v>
      </c>
      <c r="H967" s="17" t="s">
        <v>286</v>
      </c>
      <c r="I967" s="17" t="s">
        <v>287</v>
      </c>
      <c r="J967" s="17" t="s">
        <v>288</v>
      </c>
      <c r="K967" s="17" t="n">
        <v>15</v>
      </c>
      <c r="L967" s="17" t="s">
        <v>31</v>
      </c>
      <c r="M967" s="17" t="s">
        <v>32</v>
      </c>
      <c r="N967" s="19" t="n">
        <v>5.55</v>
      </c>
      <c r="O967" s="19" t="n">
        <v>83.25</v>
      </c>
      <c r="P967" s="17" t="s">
        <v>33</v>
      </c>
      <c r="Q967" s="20" t="n">
        <f aca="false">DATE(D967,C967,B967)</f>
        <v>44348</v>
      </c>
      <c r="R967" s="17" t="str">
        <f aca="false">IF(HOUR(E967)&lt;6,"Madrugada (0-5 h)",IF(HOUR(E967)&lt;12,"Mañana (6-11 h)",IF(HOUR(E967)&lt;18,"Tarde (12-17 h)","Noche (18-23 h)")))</f>
        <v>Tarde (12-17 h)</v>
      </c>
    </row>
    <row r="968" customFormat="false" ht="15" hidden="false" customHeight="false" outlineLevel="0" collapsed="false">
      <c r="A968" s="17" t="n">
        <v>1967</v>
      </c>
      <c r="B968" s="17" t="n">
        <v>22</v>
      </c>
      <c r="C968" s="17" t="n">
        <v>4</v>
      </c>
      <c r="D968" s="17" t="n">
        <v>2021</v>
      </c>
      <c r="E968" s="18" t="n">
        <v>0.481400462962963</v>
      </c>
      <c r="F968" s="17" t="n">
        <v>3552</v>
      </c>
      <c r="G968" s="17" t="s">
        <v>91</v>
      </c>
      <c r="H968" s="17" t="s">
        <v>92</v>
      </c>
      <c r="I968" s="17" t="s">
        <v>289</v>
      </c>
      <c r="J968" s="17" t="s">
        <v>290</v>
      </c>
      <c r="K968" s="17" t="n">
        <v>15</v>
      </c>
      <c r="L968" s="17" t="s">
        <v>61</v>
      </c>
      <c r="M968" s="17" t="s">
        <v>32</v>
      </c>
      <c r="N968" s="19" t="n">
        <v>4.12</v>
      </c>
      <c r="O968" s="19" t="n">
        <v>61.8</v>
      </c>
      <c r="P968" s="17" t="s">
        <v>33</v>
      </c>
      <c r="Q968" s="20" t="n">
        <f aca="false">DATE(D968,C968,B968)</f>
        <v>44308</v>
      </c>
      <c r="R968" s="17" t="str">
        <f aca="false">IF(HOUR(E968)&lt;6,"Madrugada (0-5 h)",IF(HOUR(E968)&lt;12,"Mañana (6-11 h)",IF(HOUR(E968)&lt;18,"Tarde (12-17 h)","Noche (18-23 h)")))</f>
        <v>Mañana (6-11 h)</v>
      </c>
    </row>
    <row r="969" customFormat="false" ht="15" hidden="false" customHeight="false" outlineLevel="0" collapsed="false">
      <c r="A969" s="17" t="n">
        <v>1968</v>
      </c>
      <c r="B969" s="17" t="n">
        <v>10</v>
      </c>
      <c r="C969" s="17" t="n">
        <v>8</v>
      </c>
      <c r="D969" s="17" t="n">
        <v>2022</v>
      </c>
      <c r="E969" s="18" t="n">
        <v>0.861319444444444</v>
      </c>
      <c r="F969" s="17" t="n">
        <v>3260</v>
      </c>
      <c r="G969" s="17" t="s">
        <v>291</v>
      </c>
      <c r="H969" s="17" t="s">
        <v>489</v>
      </c>
      <c r="I969" s="17" t="s">
        <v>293</v>
      </c>
      <c r="J969" s="17" t="s">
        <v>294</v>
      </c>
      <c r="K969" s="17" t="n">
        <v>49</v>
      </c>
      <c r="L969" s="17" t="s">
        <v>42</v>
      </c>
      <c r="M969" s="17" t="s">
        <v>32</v>
      </c>
      <c r="N969" s="19" t="n">
        <v>5.76</v>
      </c>
      <c r="O969" s="19" t="n">
        <v>282.24</v>
      </c>
      <c r="P969" s="17" t="s">
        <v>33</v>
      </c>
      <c r="Q969" s="20" t="n">
        <f aca="false">DATE(D969,C969,B969)</f>
        <v>44783</v>
      </c>
      <c r="R969" s="17" t="str">
        <f aca="false">IF(HOUR(E969)&lt;6,"Madrugada (0-5 h)",IF(HOUR(E969)&lt;12,"Mañana (6-11 h)",IF(HOUR(E969)&lt;18,"Tarde (12-17 h)","Noche (18-23 h)")))</f>
        <v>Noche (18-23 h)</v>
      </c>
    </row>
    <row r="970" customFormat="false" ht="15" hidden="false" customHeight="false" outlineLevel="0" collapsed="false">
      <c r="A970" s="17" t="n">
        <v>1969</v>
      </c>
      <c r="B970" s="17" t="n">
        <v>15</v>
      </c>
      <c r="C970" s="17" t="n">
        <v>8</v>
      </c>
      <c r="D970" s="17" t="n">
        <v>2021</v>
      </c>
      <c r="E970" s="18" t="n">
        <v>0.651979166666667</v>
      </c>
      <c r="F970" s="17" t="n">
        <v>1827</v>
      </c>
      <c r="G970" s="17" t="s">
        <v>295</v>
      </c>
      <c r="H970" s="17" t="s">
        <v>296</v>
      </c>
      <c r="I970" s="17" t="s">
        <v>297</v>
      </c>
      <c r="J970" s="17" t="s">
        <v>298</v>
      </c>
      <c r="K970" s="17" t="n">
        <v>26</v>
      </c>
      <c r="L970" s="17" t="s">
        <v>98</v>
      </c>
      <c r="M970" s="17" t="s">
        <v>62</v>
      </c>
      <c r="N970" s="19" t="n">
        <v>3.5</v>
      </c>
      <c r="O970" s="19" t="n">
        <v>91</v>
      </c>
      <c r="P970" s="17" t="s">
        <v>33</v>
      </c>
      <c r="Q970" s="20" t="n">
        <f aca="false">DATE(D970,C970,B970)</f>
        <v>44423</v>
      </c>
      <c r="R970" s="17" t="str">
        <f aca="false">IF(HOUR(E970)&lt;6,"Madrugada (0-5 h)",IF(HOUR(E970)&lt;12,"Mañana (6-11 h)",IF(HOUR(E970)&lt;18,"Tarde (12-17 h)","Noche (18-23 h)")))</f>
        <v>Tarde (12-17 h)</v>
      </c>
    </row>
    <row r="971" customFormat="false" ht="15" hidden="false" customHeight="false" outlineLevel="0" collapsed="false">
      <c r="A971" s="17" t="n">
        <v>1970</v>
      </c>
      <c r="B971" s="17" t="n">
        <v>21</v>
      </c>
      <c r="C971" s="17" t="n">
        <v>5</v>
      </c>
      <c r="D971" s="17" t="n">
        <v>2021</v>
      </c>
      <c r="E971" s="18" t="n">
        <v>0.695428240740741</v>
      </c>
      <c r="F971" s="17" t="n">
        <v>1738</v>
      </c>
      <c r="G971" s="17" t="s">
        <v>72</v>
      </c>
      <c r="H971" s="17" t="s">
        <v>299</v>
      </c>
      <c r="I971" s="17" t="s">
        <v>300</v>
      </c>
      <c r="J971" s="17" t="s">
        <v>301</v>
      </c>
      <c r="K971" s="17" t="n">
        <v>28</v>
      </c>
      <c r="L971" s="17" t="s">
        <v>61</v>
      </c>
      <c r="M971" s="17" t="s">
        <v>76</v>
      </c>
      <c r="N971" s="19" t="n">
        <v>13.71</v>
      </c>
      <c r="O971" s="19" t="n">
        <v>383.88</v>
      </c>
      <c r="P971" s="17" t="s">
        <v>33</v>
      </c>
      <c r="Q971" s="20" t="n">
        <f aca="false">DATE(D971,C971,B971)</f>
        <v>44337</v>
      </c>
      <c r="R971" s="17" t="str">
        <f aca="false">IF(HOUR(E971)&lt;6,"Madrugada (0-5 h)",IF(HOUR(E971)&lt;12,"Mañana (6-11 h)",IF(HOUR(E971)&lt;18,"Tarde (12-17 h)","Noche (18-23 h)")))</f>
        <v>Tarde (12-17 h)</v>
      </c>
    </row>
    <row r="972" customFormat="false" ht="15" hidden="false" customHeight="false" outlineLevel="0" collapsed="false">
      <c r="A972" s="17" t="n">
        <v>1971</v>
      </c>
      <c r="B972" s="17" t="n">
        <v>17</v>
      </c>
      <c r="C972" s="17" t="n">
        <v>5</v>
      </c>
      <c r="D972" s="17" t="n">
        <v>2021</v>
      </c>
      <c r="E972" s="18" t="n">
        <v>0.72900462962963</v>
      </c>
      <c r="F972" s="17" t="n">
        <v>1194</v>
      </c>
      <c r="G972" s="17" t="s">
        <v>302</v>
      </c>
      <c r="H972" s="17" t="s">
        <v>303</v>
      </c>
      <c r="I972" s="17" t="s">
        <v>300</v>
      </c>
      <c r="J972" s="17" t="s">
        <v>301</v>
      </c>
      <c r="K972" s="17" t="n">
        <v>33</v>
      </c>
      <c r="L972" s="17" t="s">
        <v>61</v>
      </c>
      <c r="M972" s="17" t="s">
        <v>76</v>
      </c>
      <c r="N972" s="19" t="n">
        <v>22.36</v>
      </c>
      <c r="O972" s="19" t="n">
        <v>737.88</v>
      </c>
      <c r="P972" s="17" t="s">
        <v>33</v>
      </c>
      <c r="Q972" s="20" t="n">
        <f aca="false">DATE(D972,C972,B972)</f>
        <v>44333</v>
      </c>
      <c r="R972" s="17" t="str">
        <f aca="false">IF(HOUR(E972)&lt;6,"Madrugada (0-5 h)",IF(HOUR(E972)&lt;12,"Mañana (6-11 h)",IF(HOUR(E972)&lt;18,"Tarde (12-17 h)","Noche (18-23 h)")))</f>
        <v>Tarde (12-17 h)</v>
      </c>
    </row>
    <row r="973" customFormat="false" ht="15" hidden="false" customHeight="false" outlineLevel="0" collapsed="false">
      <c r="A973" s="17" t="n">
        <v>1972</v>
      </c>
      <c r="B973" s="17" t="n">
        <v>9</v>
      </c>
      <c r="C973" s="17" t="n">
        <v>4</v>
      </c>
      <c r="D973" s="17" t="n">
        <v>2022</v>
      </c>
      <c r="E973" s="18" t="n">
        <v>0.104988425925926</v>
      </c>
      <c r="F973" s="17" t="n">
        <v>2700</v>
      </c>
      <c r="G973" s="17" t="s">
        <v>304</v>
      </c>
      <c r="H973" s="17" t="s">
        <v>305</v>
      </c>
      <c r="I973" s="17" t="s">
        <v>305</v>
      </c>
      <c r="J973" s="17" t="s">
        <v>306</v>
      </c>
      <c r="K973" s="17" t="n">
        <v>13</v>
      </c>
      <c r="L973" s="17" t="s">
        <v>31</v>
      </c>
      <c r="M973" s="17" t="s">
        <v>32</v>
      </c>
      <c r="N973" s="19" t="n">
        <v>6.68</v>
      </c>
      <c r="O973" s="19" t="n">
        <v>86.84</v>
      </c>
      <c r="P973" s="17" t="s">
        <v>33</v>
      </c>
      <c r="Q973" s="20" t="n">
        <f aca="false">DATE(D973,C973,B973)</f>
        <v>44660</v>
      </c>
      <c r="R973" s="17" t="str">
        <f aca="false">IF(HOUR(E973)&lt;6,"Madrugada (0-5 h)",IF(HOUR(E973)&lt;12,"Mañana (6-11 h)",IF(HOUR(E973)&lt;18,"Tarde (12-17 h)","Noche (18-23 h)")))</f>
        <v>Madrugada (0-5 h)</v>
      </c>
    </row>
    <row r="974" customFormat="false" ht="15" hidden="false" customHeight="false" outlineLevel="0" collapsed="false">
      <c r="A974" s="17" t="n">
        <v>1973</v>
      </c>
      <c r="B974" s="17" t="n">
        <v>14</v>
      </c>
      <c r="C974" s="17" t="n">
        <v>11</v>
      </c>
      <c r="D974" s="17" t="n">
        <v>2022</v>
      </c>
      <c r="E974" s="18" t="n">
        <v>0.0746527777777778</v>
      </c>
      <c r="F974" s="17" t="n">
        <v>1908</v>
      </c>
      <c r="G974" s="17" t="s">
        <v>307</v>
      </c>
      <c r="H974" s="17" t="s">
        <v>250</v>
      </c>
      <c r="I974" s="17" t="s">
        <v>308</v>
      </c>
      <c r="J974" s="17" t="s">
        <v>309</v>
      </c>
      <c r="K974" s="17" t="n">
        <v>48</v>
      </c>
      <c r="L974" s="17" t="s">
        <v>31</v>
      </c>
      <c r="M974" s="17" t="s">
        <v>32</v>
      </c>
      <c r="N974" s="19" t="n">
        <v>10.05</v>
      </c>
      <c r="O974" s="19" t="n">
        <v>482.4</v>
      </c>
      <c r="P974" s="17" t="s">
        <v>33</v>
      </c>
      <c r="Q974" s="20" t="n">
        <f aca="false">DATE(D974,C974,B974)</f>
        <v>44879</v>
      </c>
      <c r="R974" s="17" t="str">
        <f aca="false">IF(HOUR(E974)&lt;6,"Madrugada (0-5 h)",IF(HOUR(E974)&lt;12,"Mañana (6-11 h)",IF(HOUR(E974)&lt;18,"Tarde (12-17 h)","Noche (18-23 h)")))</f>
        <v>Madrugada (0-5 h)</v>
      </c>
    </row>
    <row r="975" customFormat="false" ht="15" hidden="false" customHeight="false" outlineLevel="0" collapsed="false">
      <c r="A975" s="17" t="n">
        <v>1974</v>
      </c>
      <c r="B975" s="17" t="n">
        <v>11</v>
      </c>
      <c r="C975" s="17" t="n">
        <v>2</v>
      </c>
      <c r="D975" s="17" t="n">
        <v>2021</v>
      </c>
      <c r="E975" s="18" t="n">
        <v>0.071400462962963</v>
      </c>
      <c r="F975" s="17" t="n">
        <v>1878</v>
      </c>
      <c r="G975" s="17" t="s">
        <v>310</v>
      </c>
      <c r="H975" s="17" t="s">
        <v>311</v>
      </c>
      <c r="I975" s="17" t="s">
        <v>312</v>
      </c>
      <c r="J975" s="17" t="s">
        <v>313</v>
      </c>
      <c r="K975" s="17" t="n">
        <v>44</v>
      </c>
      <c r="L975" s="17" t="s">
        <v>31</v>
      </c>
      <c r="M975" s="17" t="s">
        <v>32</v>
      </c>
      <c r="N975" s="19" t="n">
        <v>1.55</v>
      </c>
      <c r="O975" s="19" t="n">
        <v>68.2</v>
      </c>
      <c r="P975" s="17" t="s">
        <v>33</v>
      </c>
      <c r="Q975" s="20" t="n">
        <f aca="false">DATE(D975,C975,B975)</f>
        <v>44238</v>
      </c>
      <c r="R975" s="17" t="str">
        <f aca="false">IF(HOUR(E975)&lt;6,"Madrugada (0-5 h)",IF(HOUR(E975)&lt;12,"Mañana (6-11 h)",IF(HOUR(E975)&lt;18,"Tarde (12-17 h)","Noche (18-23 h)")))</f>
        <v>Madrugada (0-5 h)</v>
      </c>
    </row>
    <row r="976" customFormat="false" ht="15" hidden="false" customHeight="false" outlineLevel="0" collapsed="false">
      <c r="A976" s="17" t="n">
        <v>1975</v>
      </c>
      <c r="B976" s="17" t="n">
        <v>13</v>
      </c>
      <c r="C976" s="17" t="n">
        <v>11</v>
      </c>
      <c r="D976" s="17" t="n">
        <v>2022</v>
      </c>
      <c r="E976" s="18" t="n">
        <v>0.937337962962963</v>
      </c>
      <c r="F976" s="17" t="n">
        <v>3371</v>
      </c>
      <c r="G976" s="17" t="s">
        <v>314</v>
      </c>
      <c r="H976" s="17" t="s">
        <v>315</v>
      </c>
      <c r="I976" s="17" t="s">
        <v>316</v>
      </c>
      <c r="J976" s="17" t="s">
        <v>317</v>
      </c>
      <c r="K976" s="17" t="n">
        <v>29</v>
      </c>
      <c r="L976" s="17" t="s">
        <v>31</v>
      </c>
      <c r="M976" s="17" t="s">
        <v>32</v>
      </c>
      <c r="N976" s="19" t="n">
        <v>4.55</v>
      </c>
      <c r="O976" s="19" t="n">
        <v>131.95</v>
      </c>
      <c r="P976" s="17" t="s">
        <v>33</v>
      </c>
      <c r="Q976" s="20" t="n">
        <f aca="false">DATE(D976,C976,B976)</f>
        <v>44878</v>
      </c>
      <c r="R976" s="17" t="str">
        <f aca="false">IF(HOUR(E976)&lt;6,"Madrugada (0-5 h)",IF(HOUR(E976)&lt;12,"Mañana (6-11 h)",IF(HOUR(E976)&lt;18,"Tarde (12-17 h)","Noche (18-23 h)")))</f>
        <v>Noche (18-23 h)</v>
      </c>
    </row>
    <row r="977" customFormat="false" ht="15" hidden="false" customHeight="false" outlineLevel="0" collapsed="false">
      <c r="A977" s="17" t="n">
        <v>1976</v>
      </c>
      <c r="B977" s="17" t="n">
        <v>19</v>
      </c>
      <c r="C977" s="17" t="n">
        <v>3</v>
      </c>
      <c r="D977" s="17" t="n">
        <v>2022</v>
      </c>
      <c r="E977" s="18" t="n">
        <v>0.813020833333333</v>
      </c>
      <c r="F977" s="17" t="n">
        <v>3402</v>
      </c>
      <c r="G977" s="17" t="s">
        <v>318</v>
      </c>
      <c r="H977" s="17" t="s">
        <v>319</v>
      </c>
      <c r="I977" s="17" t="s">
        <v>320</v>
      </c>
      <c r="J977" s="17" t="s">
        <v>321</v>
      </c>
      <c r="K977" s="17" t="n">
        <v>30</v>
      </c>
      <c r="L977" s="17" t="s">
        <v>31</v>
      </c>
      <c r="M977" s="17" t="s">
        <v>82</v>
      </c>
      <c r="N977" s="19" t="n">
        <v>5.74</v>
      </c>
      <c r="O977" s="19" t="n">
        <v>172.2</v>
      </c>
      <c r="P977" s="17" t="s">
        <v>33</v>
      </c>
      <c r="Q977" s="20" t="n">
        <f aca="false">DATE(D977,C977,B977)</f>
        <v>44639</v>
      </c>
      <c r="R977" s="17" t="str">
        <f aca="false">IF(HOUR(E977)&lt;6,"Madrugada (0-5 h)",IF(HOUR(E977)&lt;12,"Mañana (6-11 h)",IF(HOUR(E977)&lt;18,"Tarde (12-17 h)","Noche (18-23 h)")))</f>
        <v>Noche (18-23 h)</v>
      </c>
    </row>
    <row r="978" customFormat="false" ht="15" hidden="false" customHeight="false" outlineLevel="0" collapsed="false">
      <c r="A978" s="17" t="n">
        <v>1977</v>
      </c>
      <c r="B978" s="17" t="n">
        <v>16</v>
      </c>
      <c r="C978" s="17" t="n">
        <v>6</v>
      </c>
      <c r="D978" s="17" t="n">
        <v>2021</v>
      </c>
      <c r="E978" s="18" t="n">
        <v>0.480578703703704</v>
      </c>
      <c r="F978" s="17" t="n">
        <v>4230</v>
      </c>
      <c r="G978" s="17" t="s">
        <v>322</v>
      </c>
      <c r="H978" s="17" t="s">
        <v>323</v>
      </c>
      <c r="I978" s="17" t="s">
        <v>324</v>
      </c>
      <c r="J978" s="17" t="s">
        <v>325</v>
      </c>
      <c r="K978" s="17" t="n">
        <v>43</v>
      </c>
      <c r="L978" s="17" t="s">
        <v>61</v>
      </c>
      <c r="M978" s="17" t="s">
        <v>76</v>
      </c>
      <c r="N978" s="19" t="n">
        <v>10.99</v>
      </c>
      <c r="O978" s="19" t="n">
        <v>472.57</v>
      </c>
      <c r="P978" s="17" t="s">
        <v>33</v>
      </c>
      <c r="Q978" s="20" t="n">
        <f aca="false">DATE(D978,C978,B978)</f>
        <v>44363</v>
      </c>
      <c r="R978" s="17" t="str">
        <f aca="false">IF(HOUR(E978)&lt;6,"Madrugada (0-5 h)",IF(HOUR(E978)&lt;12,"Mañana (6-11 h)",IF(HOUR(E978)&lt;18,"Tarde (12-17 h)","Noche (18-23 h)")))</f>
        <v>Mañana (6-11 h)</v>
      </c>
    </row>
    <row r="979" customFormat="false" ht="15" hidden="false" customHeight="false" outlineLevel="0" collapsed="false">
      <c r="A979" s="17" t="n">
        <v>1978</v>
      </c>
      <c r="B979" s="17" t="n">
        <v>16</v>
      </c>
      <c r="C979" s="17" t="n">
        <v>11</v>
      </c>
      <c r="D979" s="17" t="n">
        <v>2021</v>
      </c>
      <c r="E979" s="18" t="n">
        <v>0.84775462962963</v>
      </c>
      <c r="F979" s="17" t="n">
        <v>3813</v>
      </c>
      <c r="G979" s="17" t="s">
        <v>188</v>
      </c>
      <c r="H979" s="17" t="s">
        <v>326</v>
      </c>
      <c r="I979" s="17" t="s">
        <v>190</v>
      </c>
      <c r="J979" s="17" t="s">
        <v>191</v>
      </c>
      <c r="K979" s="17" t="n">
        <v>22</v>
      </c>
      <c r="L979" s="17" t="s">
        <v>61</v>
      </c>
      <c r="M979" s="17" t="s">
        <v>76</v>
      </c>
      <c r="N979" s="19" t="n">
        <v>13.55</v>
      </c>
      <c r="O979" s="19" t="n">
        <v>298.1</v>
      </c>
      <c r="P979" s="17" t="s">
        <v>43</v>
      </c>
      <c r="Q979" s="20" t="n">
        <f aca="false">DATE(D979,C979,B979)</f>
        <v>44516</v>
      </c>
      <c r="R979" s="17" t="str">
        <f aca="false">IF(HOUR(E979)&lt;6,"Madrugada (0-5 h)",IF(HOUR(E979)&lt;12,"Mañana (6-11 h)",IF(HOUR(E979)&lt;18,"Tarde (12-17 h)","Noche (18-23 h)")))</f>
        <v>Noche (18-23 h)</v>
      </c>
    </row>
    <row r="980" customFormat="false" ht="15" hidden="false" customHeight="false" outlineLevel="0" collapsed="false">
      <c r="A980" s="17" t="n">
        <v>1979</v>
      </c>
      <c r="B980" s="17" t="n">
        <v>20</v>
      </c>
      <c r="C980" s="17" t="n">
        <v>12</v>
      </c>
      <c r="D980" s="17" t="n">
        <v>2022</v>
      </c>
      <c r="E980" s="18" t="n">
        <v>0.283506944444445</v>
      </c>
      <c r="F980" s="17" t="n">
        <v>1317</v>
      </c>
      <c r="G980" s="17" t="s">
        <v>327</v>
      </c>
      <c r="H980" s="17" t="s">
        <v>84</v>
      </c>
      <c r="I980" s="17" t="s">
        <v>222</v>
      </c>
      <c r="J980" s="17" t="s">
        <v>328</v>
      </c>
      <c r="K980" s="17" t="n">
        <v>50</v>
      </c>
      <c r="L980" s="17" t="s">
        <v>42</v>
      </c>
      <c r="M980" s="17" t="s">
        <v>32</v>
      </c>
      <c r="N980" s="19" t="n">
        <v>5.56</v>
      </c>
      <c r="O980" s="19" t="n">
        <v>278</v>
      </c>
      <c r="P980" s="17" t="s">
        <v>33</v>
      </c>
      <c r="Q980" s="20" t="n">
        <f aca="false">DATE(D980,C980,B980)</f>
        <v>44915</v>
      </c>
      <c r="R980" s="17" t="str">
        <f aca="false">IF(HOUR(E980)&lt;6,"Madrugada (0-5 h)",IF(HOUR(E980)&lt;12,"Mañana (6-11 h)",IF(HOUR(E980)&lt;18,"Tarde (12-17 h)","Noche (18-23 h)")))</f>
        <v>Mañana (6-11 h)</v>
      </c>
    </row>
    <row r="981" customFormat="false" ht="15" hidden="false" customHeight="false" outlineLevel="0" collapsed="false">
      <c r="A981" s="17" t="n">
        <v>1980</v>
      </c>
      <c r="B981" s="17" t="n">
        <v>4</v>
      </c>
      <c r="C981" s="17" t="n">
        <v>3</v>
      </c>
      <c r="D981" s="17" t="n">
        <v>2021</v>
      </c>
      <c r="E981" s="18" t="n">
        <v>0.0475115740740741</v>
      </c>
      <c r="F981" s="17" t="n">
        <v>1668</v>
      </c>
      <c r="G981" s="17" t="s">
        <v>329</v>
      </c>
      <c r="H981" s="17" t="s">
        <v>330</v>
      </c>
      <c r="I981" s="17" t="s">
        <v>331</v>
      </c>
      <c r="J981" s="17" t="s">
        <v>332</v>
      </c>
      <c r="K981" s="17" t="n">
        <v>24</v>
      </c>
      <c r="L981" s="17" t="s">
        <v>81</v>
      </c>
      <c r="M981" s="17" t="s">
        <v>333</v>
      </c>
      <c r="N981" s="19" t="n">
        <v>3.32</v>
      </c>
      <c r="O981" s="19" t="n">
        <v>79.68</v>
      </c>
      <c r="P981" s="17" t="s">
        <v>43</v>
      </c>
      <c r="Q981" s="20" t="n">
        <f aca="false">DATE(D981,C981,B981)</f>
        <v>44259</v>
      </c>
      <c r="R981" s="17" t="str">
        <f aca="false">IF(HOUR(E981)&lt;6,"Madrugada (0-5 h)",IF(HOUR(E981)&lt;12,"Mañana (6-11 h)",IF(HOUR(E981)&lt;18,"Tarde (12-17 h)","Noche (18-23 h)")))</f>
        <v>Madrugada (0-5 h)</v>
      </c>
    </row>
    <row r="982" customFormat="false" ht="15" hidden="false" customHeight="false" outlineLevel="0" collapsed="false">
      <c r="A982" s="17" t="n">
        <v>1981</v>
      </c>
      <c r="B982" s="17" t="n">
        <v>6</v>
      </c>
      <c r="C982" s="17" t="n">
        <v>12</v>
      </c>
      <c r="D982" s="17" t="n">
        <v>2022</v>
      </c>
      <c r="E982" s="18" t="n">
        <v>0.766944444444444</v>
      </c>
      <c r="F982" s="17" t="n">
        <v>4497</v>
      </c>
      <c r="G982" s="17" t="s">
        <v>334</v>
      </c>
      <c r="H982" s="17" t="s">
        <v>88</v>
      </c>
      <c r="I982" s="17" t="s">
        <v>335</v>
      </c>
      <c r="J982" s="17" t="s">
        <v>336</v>
      </c>
      <c r="K982" s="17" t="n">
        <v>28</v>
      </c>
      <c r="L982" s="17" t="s">
        <v>81</v>
      </c>
      <c r="M982" s="17" t="s">
        <v>333</v>
      </c>
      <c r="N982" s="19" t="n">
        <v>54</v>
      </c>
      <c r="O982" s="19" t="n">
        <v>1512</v>
      </c>
      <c r="P982" s="17" t="s">
        <v>33</v>
      </c>
      <c r="Q982" s="20" t="n">
        <f aca="false">DATE(D982,C982,B982)</f>
        <v>44901</v>
      </c>
      <c r="R982" s="17" t="str">
        <f aca="false">IF(HOUR(E982)&lt;6,"Madrugada (0-5 h)",IF(HOUR(E982)&lt;12,"Mañana (6-11 h)",IF(HOUR(E982)&lt;18,"Tarde (12-17 h)","Noche (18-23 h)")))</f>
        <v>Noche (18-23 h)</v>
      </c>
    </row>
    <row r="983" customFormat="false" ht="15" hidden="false" customHeight="false" outlineLevel="0" collapsed="false">
      <c r="A983" s="17" t="n">
        <v>1982</v>
      </c>
      <c r="B983" s="17" t="n">
        <v>24</v>
      </c>
      <c r="C983" s="17" t="n">
        <v>7</v>
      </c>
      <c r="D983" s="17" t="n">
        <v>2022</v>
      </c>
      <c r="E983" s="18" t="n">
        <v>0.918263888888889</v>
      </c>
      <c r="F983" s="17" t="n">
        <v>4060</v>
      </c>
      <c r="G983" s="17" t="s">
        <v>337</v>
      </c>
      <c r="H983" s="17" t="s">
        <v>338</v>
      </c>
      <c r="I983" s="17" t="s">
        <v>339</v>
      </c>
      <c r="J983" s="17" t="s">
        <v>340</v>
      </c>
      <c r="K983" s="17" t="n">
        <v>5</v>
      </c>
      <c r="L983" s="17" t="s">
        <v>81</v>
      </c>
      <c r="M983" s="17" t="s">
        <v>333</v>
      </c>
      <c r="N983" s="19" t="n">
        <v>13.42</v>
      </c>
      <c r="O983" s="19" t="n">
        <v>67.1</v>
      </c>
      <c r="P983" s="17" t="s">
        <v>33</v>
      </c>
      <c r="Q983" s="20" t="n">
        <f aca="false">DATE(D983,C983,B983)</f>
        <v>44766</v>
      </c>
      <c r="R983" s="17" t="str">
        <f aca="false">IF(HOUR(E983)&lt;6,"Madrugada (0-5 h)",IF(HOUR(E983)&lt;12,"Mañana (6-11 h)",IF(HOUR(E983)&lt;18,"Tarde (12-17 h)","Noche (18-23 h)")))</f>
        <v>Noche (18-23 h)</v>
      </c>
    </row>
    <row r="984" customFormat="false" ht="15" hidden="false" customHeight="false" outlineLevel="0" collapsed="false">
      <c r="A984" s="17" t="n">
        <v>1983</v>
      </c>
      <c r="B984" s="17" t="n">
        <v>18</v>
      </c>
      <c r="C984" s="17" t="n">
        <v>12</v>
      </c>
      <c r="D984" s="17" t="n">
        <v>2021</v>
      </c>
      <c r="E984" s="18" t="n">
        <v>0.961597222222222</v>
      </c>
      <c r="F984" s="17" t="n">
        <v>4516</v>
      </c>
      <c r="G984" s="17" t="s">
        <v>341</v>
      </c>
      <c r="H984" s="17" t="s">
        <v>342</v>
      </c>
      <c r="I984" s="17" t="s">
        <v>343</v>
      </c>
      <c r="J984" s="17" t="s">
        <v>344</v>
      </c>
      <c r="K984" s="17" t="n">
        <v>31</v>
      </c>
      <c r="L984" s="17" t="s">
        <v>81</v>
      </c>
      <c r="M984" s="17" t="s">
        <v>333</v>
      </c>
      <c r="N984" s="19" t="n">
        <v>45.04</v>
      </c>
      <c r="O984" s="19" t="n">
        <v>1396.24</v>
      </c>
      <c r="P984" s="17" t="s">
        <v>33</v>
      </c>
      <c r="Q984" s="20" t="n">
        <f aca="false">DATE(D984,C984,B984)</f>
        <v>44548</v>
      </c>
      <c r="R984" s="17" t="str">
        <f aca="false">IF(HOUR(E984)&lt;6,"Madrugada (0-5 h)",IF(HOUR(E984)&lt;12,"Mañana (6-11 h)",IF(HOUR(E984)&lt;18,"Tarde (12-17 h)","Noche (18-23 h)")))</f>
        <v>Noche (18-23 h)</v>
      </c>
    </row>
    <row r="985" customFormat="false" ht="15" hidden="false" customHeight="false" outlineLevel="0" collapsed="false">
      <c r="A985" s="17" t="n">
        <v>1984</v>
      </c>
      <c r="B985" s="17" t="n">
        <v>10</v>
      </c>
      <c r="C985" s="17" t="n">
        <v>11</v>
      </c>
      <c r="D985" s="17" t="n">
        <v>2021</v>
      </c>
      <c r="E985" s="18" t="n">
        <v>0.423344907407407</v>
      </c>
      <c r="F985" s="17" t="n">
        <v>1736</v>
      </c>
      <c r="G985" s="17" t="s">
        <v>345</v>
      </c>
      <c r="H985" s="17" t="s">
        <v>346</v>
      </c>
      <c r="I985" s="17" t="s">
        <v>347</v>
      </c>
      <c r="J985" s="17" t="s">
        <v>348</v>
      </c>
      <c r="K985" s="17" t="n">
        <v>13</v>
      </c>
      <c r="L985" s="17" t="s">
        <v>81</v>
      </c>
      <c r="M985" s="17" t="s">
        <v>32</v>
      </c>
      <c r="N985" s="19" t="n">
        <v>20.05</v>
      </c>
      <c r="O985" s="19" t="n">
        <v>260.65</v>
      </c>
      <c r="P985" s="17" t="s">
        <v>33</v>
      </c>
      <c r="Q985" s="20" t="n">
        <f aca="false">DATE(D985,C985,B985)</f>
        <v>44510</v>
      </c>
      <c r="R985" s="17" t="str">
        <f aca="false">IF(HOUR(E985)&lt;6,"Madrugada (0-5 h)",IF(HOUR(E985)&lt;12,"Mañana (6-11 h)",IF(HOUR(E985)&lt;18,"Tarde (12-17 h)","Noche (18-23 h)")))</f>
        <v>Mañana (6-11 h)</v>
      </c>
    </row>
    <row r="986" customFormat="false" ht="15" hidden="false" customHeight="false" outlineLevel="0" collapsed="false">
      <c r="A986" s="17" t="n">
        <v>1985</v>
      </c>
      <c r="B986" s="17" t="n">
        <v>16</v>
      </c>
      <c r="C986" s="17" t="n">
        <v>12</v>
      </c>
      <c r="D986" s="17" t="n">
        <v>2022</v>
      </c>
      <c r="E986" s="18" t="n">
        <v>0.35875</v>
      </c>
      <c r="F986" s="17" t="n">
        <v>4929</v>
      </c>
      <c r="G986" s="17" t="s">
        <v>349</v>
      </c>
      <c r="H986" s="17" t="s">
        <v>350</v>
      </c>
      <c r="I986" s="17" t="s">
        <v>351</v>
      </c>
      <c r="J986" s="17" t="s">
        <v>352</v>
      </c>
      <c r="K986" s="17" t="n">
        <v>23</v>
      </c>
      <c r="L986" s="17" t="s">
        <v>81</v>
      </c>
      <c r="M986" s="17" t="s">
        <v>32</v>
      </c>
      <c r="N986" s="19" t="n">
        <v>7.98</v>
      </c>
      <c r="O986" s="19" t="n">
        <v>183.54</v>
      </c>
      <c r="P986" s="17" t="s">
        <v>43</v>
      </c>
      <c r="Q986" s="20" t="n">
        <f aca="false">DATE(D986,C986,B986)</f>
        <v>44911</v>
      </c>
      <c r="R986" s="17" t="str">
        <f aca="false">IF(HOUR(E986)&lt;6,"Madrugada (0-5 h)",IF(HOUR(E986)&lt;12,"Mañana (6-11 h)",IF(HOUR(E986)&lt;18,"Tarde (12-17 h)","Noche (18-23 h)")))</f>
        <v>Mañana (6-11 h)</v>
      </c>
    </row>
    <row r="987" customFormat="false" ht="15" hidden="false" customHeight="false" outlineLevel="0" collapsed="false">
      <c r="A987" s="17" t="n">
        <v>1986</v>
      </c>
      <c r="B987" s="17" t="n">
        <v>18</v>
      </c>
      <c r="C987" s="17" t="n">
        <v>4</v>
      </c>
      <c r="D987" s="17" t="n">
        <v>2022</v>
      </c>
      <c r="E987" s="18" t="n">
        <v>0.0558333333333333</v>
      </c>
      <c r="F987" s="17" t="n">
        <v>1035</v>
      </c>
      <c r="G987" s="17" t="s">
        <v>353</v>
      </c>
      <c r="H987" s="17" t="s">
        <v>354</v>
      </c>
      <c r="I987" s="17" t="s">
        <v>355</v>
      </c>
      <c r="J987" s="17" t="s">
        <v>356</v>
      </c>
      <c r="K987" s="17" t="n">
        <v>8</v>
      </c>
      <c r="L987" s="17" t="s">
        <v>125</v>
      </c>
      <c r="M987" s="17" t="s">
        <v>82</v>
      </c>
      <c r="N987" s="19" t="n">
        <v>24.43</v>
      </c>
      <c r="O987" s="19" t="n">
        <v>195.44</v>
      </c>
      <c r="P987" s="17" t="s">
        <v>33</v>
      </c>
      <c r="Q987" s="20" t="n">
        <f aca="false">DATE(D987,C987,B987)</f>
        <v>44669</v>
      </c>
      <c r="R987" s="17" t="str">
        <f aca="false">IF(HOUR(E987)&lt;6,"Madrugada (0-5 h)",IF(HOUR(E987)&lt;12,"Mañana (6-11 h)",IF(HOUR(E987)&lt;18,"Tarde (12-17 h)","Noche (18-23 h)")))</f>
        <v>Madrugada (0-5 h)</v>
      </c>
    </row>
    <row r="988" customFormat="false" ht="15" hidden="false" customHeight="false" outlineLevel="0" collapsed="false">
      <c r="A988" s="17" t="n">
        <v>1987</v>
      </c>
      <c r="B988" s="17" t="n">
        <v>17</v>
      </c>
      <c r="C988" s="17" t="n">
        <v>11</v>
      </c>
      <c r="D988" s="17" t="n">
        <v>2022</v>
      </c>
      <c r="E988" s="18" t="n">
        <v>0.787199074074074</v>
      </c>
      <c r="F988" s="17" t="n">
        <v>2154</v>
      </c>
      <c r="G988" s="17" t="s">
        <v>357</v>
      </c>
      <c r="H988" s="17" t="s">
        <v>358</v>
      </c>
      <c r="I988" s="17" t="s">
        <v>359</v>
      </c>
      <c r="J988" s="17" t="s">
        <v>360</v>
      </c>
      <c r="K988" s="17" t="n">
        <v>19</v>
      </c>
      <c r="L988" s="17" t="s">
        <v>81</v>
      </c>
      <c r="M988" s="17" t="s">
        <v>76</v>
      </c>
      <c r="N988" s="19" t="n">
        <v>6.3</v>
      </c>
      <c r="O988" s="19" t="n">
        <v>119.7</v>
      </c>
      <c r="P988" s="17" t="s">
        <v>33</v>
      </c>
      <c r="Q988" s="20" t="n">
        <f aca="false">DATE(D988,C988,B988)</f>
        <v>44882</v>
      </c>
      <c r="R988" s="17" t="str">
        <f aca="false">IF(HOUR(E988)&lt;6,"Madrugada (0-5 h)",IF(HOUR(E988)&lt;12,"Mañana (6-11 h)",IF(HOUR(E988)&lt;18,"Tarde (12-17 h)","Noche (18-23 h)")))</f>
        <v>Noche (18-23 h)</v>
      </c>
    </row>
    <row r="989" customFormat="false" ht="15" hidden="false" customHeight="false" outlineLevel="0" collapsed="false">
      <c r="A989" s="17" t="n">
        <v>1988</v>
      </c>
      <c r="B989" s="17" t="n">
        <v>12</v>
      </c>
      <c r="C989" s="17" t="n">
        <v>7</v>
      </c>
      <c r="D989" s="17" t="n">
        <v>2022</v>
      </c>
      <c r="E989" s="18" t="n">
        <v>0.5728125</v>
      </c>
      <c r="F989" s="17" t="n">
        <v>3606</v>
      </c>
      <c r="G989" s="17" t="s">
        <v>361</v>
      </c>
      <c r="H989" s="17" t="s">
        <v>490</v>
      </c>
      <c r="I989" s="17" t="s">
        <v>363</v>
      </c>
      <c r="J989" s="17" t="s">
        <v>364</v>
      </c>
      <c r="K989" s="17" t="n">
        <v>1</v>
      </c>
      <c r="L989" s="17" t="s">
        <v>81</v>
      </c>
      <c r="M989" s="17" t="s">
        <v>76</v>
      </c>
      <c r="N989" s="19" t="n">
        <v>1.89</v>
      </c>
      <c r="O989" s="19" t="n">
        <v>1.89</v>
      </c>
      <c r="P989" s="17" t="s">
        <v>33</v>
      </c>
      <c r="Q989" s="20" t="n">
        <f aca="false">DATE(D989,C989,B989)</f>
        <v>44754</v>
      </c>
      <c r="R989" s="17" t="str">
        <f aca="false">IF(HOUR(E989)&lt;6,"Madrugada (0-5 h)",IF(HOUR(E989)&lt;12,"Mañana (6-11 h)",IF(HOUR(E989)&lt;18,"Tarde (12-17 h)","Noche (18-23 h)")))</f>
        <v>Tarde (12-17 h)</v>
      </c>
    </row>
    <row r="990" customFormat="false" ht="15" hidden="false" customHeight="false" outlineLevel="0" collapsed="false">
      <c r="A990" s="17" t="n">
        <v>1989</v>
      </c>
      <c r="B990" s="17" t="n">
        <v>10</v>
      </c>
      <c r="C990" s="17" t="n">
        <v>4</v>
      </c>
      <c r="D990" s="17" t="n">
        <v>2022</v>
      </c>
      <c r="E990" s="18" t="n">
        <v>0.62712962962963</v>
      </c>
      <c r="F990" s="17" t="n">
        <v>2236</v>
      </c>
      <c r="G990" s="17" t="s">
        <v>365</v>
      </c>
      <c r="H990" s="17" t="s">
        <v>366</v>
      </c>
      <c r="I990" s="17" t="s">
        <v>367</v>
      </c>
      <c r="J990" s="17" t="s">
        <v>368</v>
      </c>
      <c r="K990" s="17" t="n">
        <v>46</v>
      </c>
      <c r="L990" s="17" t="s">
        <v>81</v>
      </c>
      <c r="M990" s="17" t="s">
        <v>32</v>
      </c>
      <c r="N990" s="19" t="n">
        <v>2.3</v>
      </c>
      <c r="O990" s="19" t="n">
        <v>105.8</v>
      </c>
      <c r="P990" s="17" t="s">
        <v>33</v>
      </c>
      <c r="Q990" s="20" t="n">
        <f aca="false">DATE(D990,C990,B990)</f>
        <v>44661</v>
      </c>
      <c r="R990" s="17" t="str">
        <f aca="false">IF(HOUR(E990)&lt;6,"Madrugada (0-5 h)",IF(HOUR(E990)&lt;12,"Mañana (6-11 h)",IF(HOUR(E990)&lt;18,"Tarde (12-17 h)","Noche (18-23 h)")))</f>
        <v>Tarde (12-17 h)</v>
      </c>
    </row>
    <row r="991" customFormat="false" ht="15" hidden="false" customHeight="false" outlineLevel="0" collapsed="false">
      <c r="A991" s="17" t="n">
        <v>1990</v>
      </c>
      <c r="B991" s="17" t="n">
        <v>8</v>
      </c>
      <c r="C991" s="17" t="n">
        <v>9</v>
      </c>
      <c r="D991" s="17" t="n">
        <v>2022</v>
      </c>
      <c r="E991" s="18" t="n">
        <v>0.441168981481482</v>
      </c>
      <c r="F991" s="17" t="n">
        <v>3683</v>
      </c>
      <c r="G991" s="17" t="s">
        <v>369</v>
      </c>
      <c r="H991" s="17" t="s">
        <v>370</v>
      </c>
      <c r="I991" s="17" t="s">
        <v>371</v>
      </c>
      <c r="J991" s="17" t="s">
        <v>372</v>
      </c>
      <c r="K991" s="17" t="n">
        <v>36</v>
      </c>
      <c r="L991" s="17" t="s">
        <v>81</v>
      </c>
      <c r="M991" s="17" t="s">
        <v>32</v>
      </c>
      <c r="N991" s="19" t="n">
        <v>6.76</v>
      </c>
      <c r="O991" s="19" t="n">
        <v>243.36</v>
      </c>
      <c r="P991" s="17" t="s">
        <v>33</v>
      </c>
      <c r="Q991" s="20" t="n">
        <f aca="false">DATE(D991,C991,B991)</f>
        <v>44812</v>
      </c>
      <c r="R991" s="17" t="str">
        <f aca="false">IF(HOUR(E991)&lt;6,"Madrugada (0-5 h)",IF(HOUR(E991)&lt;12,"Mañana (6-11 h)",IF(HOUR(E991)&lt;18,"Tarde (12-17 h)","Noche (18-23 h)")))</f>
        <v>Mañana (6-11 h)</v>
      </c>
    </row>
    <row r="992" customFormat="false" ht="15" hidden="false" customHeight="false" outlineLevel="0" collapsed="false">
      <c r="A992" s="17" t="n">
        <v>1991</v>
      </c>
      <c r="B992" s="17" t="n">
        <v>12</v>
      </c>
      <c r="C992" s="17" t="n">
        <v>9</v>
      </c>
      <c r="D992" s="17" t="n">
        <v>2021</v>
      </c>
      <c r="E992" s="18" t="n">
        <v>0.908217592592593</v>
      </c>
      <c r="F992" s="17" t="n">
        <v>3825</v>
      </c>
      <c r="G992" s="17" t="s">
        <v>373</v>
      </c>
      <c r="H992" s="17" t="s">
        <v>374</v>
      </c>
      <c r="I992" s="17" t="s">
        <v>375</v>
      </c>
      <c r="J992" s="17" t="s">
        <v>376</v>
      </c>
      <c r="K992" s="17" t="n">
        <v>10</v>
      </c>
      <c r="L992" s="17" t="s">
        <v>81</v>
      </c>
      <c r="M992" s="17" t="s">
        <v>32</v>
      </c>
      <c r="N992" s="19" t="n">
        <v>7.3</v>
      </c>
      <c r="O992" s="19" t="n">
        <v>73</v>
      </c>
      <c r="P992" s="17" t="s">
        <v>43</v>
      </c>
      <c r="Q992" s="20" t="n">
        <f aca="false">DATE(D992,C992,B992)</f>
        <v>44451</v>
      </c>
      <c r="R992" s="17" t="str">
        <f aca="false">IF(HOUR(E992)&lt;6,"Madrugada (0-5 h)",IF(HOUR(E992)&lt;12,"Mañana (6-11 h)",IF(HOUR(E992)&lt;18,"Tarde (12-17 h)","Noche (18-23 h)")))</f>
        <v>Noche (18-23 h)</v>
      </c>
    </row>
    <row r="993" customFormat="false" ht="15" hidden="false" customHeight="false" outlineLevel="0" collapsed="false">
      <c r="A993" s="17" t="n">
        <v>1992</v>
      </c>
      <c r="B993" s="17" t="n">
        <v>18</v>
      </c>
      <c r="C993" s="17" t="n">
        <v>11</v>
      </c>
      <c r="D993" s="17" t="n">
        <v>2022</v>
      </c>
      <c r="E993" s="18" t="n">
        <v>0.235798611111111</v>
      </c>
      <c r="F993" s="17" t="n">
        <v>2740</v>
      </c>
      <c r="G993" s="17" t="s">
        <v>377</v>
      </c>
      <c r="H993" s="17" t="s">
        <v>137</v>
      </c>
      <c r="I993" s="17" t="s">
        <v>491</v>
      </c>
      <c r="J993" s="17" t="s">
        <v>379</v>
      </c>
      <c r="K993" s="17" t="n">
        <v>25</v>
      </c>
      <c r="L993" s="17" t="s">
        <v>81</v>
      </c>
      <c r="M993" s="17" t="s">
        <v>32</v>
      </c>
      <c r="N993" s="19" t="n">
        <v>6.3</v>
      </c>
      <c r="O993" s="19" t="n">
        <v>157.5</v>
      </c>
      <c r="P993" s="17" t="s">
        <v>33</v>
      </c>
      <c r="Q993" s="20" t="n">
        <f aca="false">DATE(D993,C993,B993)</f>
        <v>44883</v>
      </c>
      <c r="R993" s="17" t="str">
        <f aca="false">IF(HOUR(E993)&lt;6,"Madrugada (0-5 h)",IF(HOUR(E993)&lt;12,"Mañana (6-11 h)",IF(HOUR(E993)&lt;18,"Tarde (12-17 h)","Noche (18-23 h)")))</f>
        <v>Madrugada (0-5 h)</v>
      </c>
    </row>
    <row r="994" customFormat="false" ht="15" hidden="false" customHeight="false" outlineLevel="0" collapsed="false">
      <c r="A994" s="17" t="n">
        <v>1993</v>
      </c>
      <c r="B994" s="17" t="n">
        <v>22</v>
      </c>
      <c r="C994" s="17" t="n">
        <v>1</v>
      </c>
      <c r="D994" s="17" t="n">
        <v>2021</v>
      </c>
      <c r="E994" s="18" t="n">
        <v>0.319131944444444</v>
      </c>
      <c r="F994" s="17" t="n">
        <v>2731</v>
      </c>
      <c r="G994" s="17" t="s">
        <v>380</v>
      </c>
      <c r="H994" s="17" t="s">
        <v>333</v>
      </c>
      <c r="I994" s="17" t="s">
        <v>381</v>
      </c>
      <c r="J994" s="17" t="s">
        <v>382</v>
      </c>
      <c r="K994" s="17" t="n">
        <v>37</v>
      </c>
      <c r="L994" s="17" t="s">
        <v>81</v>
      </c>
      <c r="M994" s="17" t="s">
        <v>76</v>
      </c>
      <c r="N994" s="19" t="n">
        <v>5.23</v>
      </c>
      <c r="O994" s="19" t="n">
        <v>193.51</v>
      </c>
      <c r="P994" s="17" t="s">
        <v>33</v>
      </c>
      <c r="Q994" s="20" t="n">
        <f aca="false">DATE(D994,C994,B994)</f>
        <v>44218</v>
      </c>
      <c r="R994" s="17" t="str">
        <f aca="false">IF(HOUR(E994)&lt;6,"Madrugada (0-5 h)",IF(HOUR(E994)&lt;12,"Mañana (6-11 h)",IF(HOUR(E994)&lt;18,"Tarde (12-17 h)","Noche (18-23 h)")))</f>
        <v>Mañana (6-11 h)</v>
      </c>
    </row>
    <row r="995" customFormat="false" ht="15" hidden="false" customHeight="false" outlineLevel="0" collapsed="false">
      <c r="A995" s="17" t="n">
        <v>1994</v>
      </c>
      <c r="B995" s="17" t="n">
        <v>20</v>
      </c>
      <c r="C995" s="17" t="n">
        <v>4</v>
      </c>
      <c r="D995" s="17" t="n">
        <v>2021</v>
      </c>
      <c r="E995" s="18" t="n">
        <v>0.17287037037037</v>
      </c>
      <c r="F995" s="17" t="n">
        <v>3286</v>
      </c>
      <c r="G995" s="17" t="s">
        <v>383</v>
      </c>
      <c r="H995" s="17" t="s">
        <v>384</v>
      </c>
      <c r="I995" s="17" t="s">
        <v>385</v>
      </c>
      <c r="J995" s="17" t="s">
        <v>386</v>
      </c>
      <c r="K995" s="17" t="n">
        <v>20</v>
      </c>
      <c r="L995" s="17" t="s">
        <v>31</v>
      </c>
      <c r="M995" s="17" t="s">
        <v>32</v>
      </c>
      <c r="N995" s="19" t="n">
        <v>2.01</v>
      </c>
      <c r="O995" s="19" t="n">
        <v>40.2</v>
      </c>
      <c r="P995" s="17" t="s">
        <v>33</v>
      </c>
      <c r="Q995" s="20" t="n">
        <f aca="false">DATE(D995,C995,B995)</f>
        <v>44306</v>
      </c>
      <c r="R995" s="17" t="str">
        <f aca="false">IF(HOUR(E995)&lt;6,"Madrugada (0-5 h)",IF(HOUR(E995)&lt;12,"Mañana (6-11 h)",IF(HOUR(E995)&lt;18,"Tarde (12-17 h)","Noche (18-23 h)")))</f>
        <v>Madrugada (0-5 h)</v>
      </c>
    </row>
    <row r="996" customFormat="false" ht="15" hidden="false" customHeight="false" outlineLevel="0" collapsed="false">
      <c r="A996" s="17" t="n">
        <v>1995</v>
      </c>
      <c r="B996" s="17" t="n">
        <v>7</v>
      </c>
      <c r="C996" s="17" t="n">
        <v>10</v>
      </c>
      <c r="D996" s="17" t="n">
        <v>2021</v>
      </c>
      <c r="E996" s="18" t="n">
        <v>0.0459953703703704</v>
      </c>
      <c r="F996" s="17" t="n">
        <v>1086</v>
      </c>
      <c r="G996" s="17" t="s">
        <v>387</v>
      </c>
      <c r="H996" s="17" t="s">
        <v>492</v>
      </c>
      <c r="I996" s="17" t="s">
        <v>389</v>
      </c>
      <c r="J996" s="17" t="s">
        <v>390</v>
      </c>
      <c r="K996" s="17" t="n">
        <v>38</v>
      </c>
      <c r="L996" s="17" t="s">
        <v>61</v>
      </c>
      <c r="M996" s="17" t="s">
        <v>32</v>
      </c>
      <c r="N996" s="19" t="n">
        <v>14.37</v>
      </c>
      <c r="O996" s="19" t="n">
        <v>546.06</v>
      </c>
      <c r="P996" s="17" t="s">
        <v>33</v>
      </c>
      <c r="Q996" s="20" t="n">
        <f aca="false">DATE(D996,C996,B996)</f>
        <v>44476</v>
      </c>
      <c r="R996" s="17" t="str">
        <f aca="false">IF(HOUR(E996)&lt;6,"Madrugada (0-5 h)",IF(HOUR(E996)&lt;12,"Mañana (6-11 h)",IF(HOUR(E996)&lt;18,"Tarde (12-17 h)","Noche (18-23 h)")))</f>
        <v>Madrugada (0-5 h)</v>
      </c>
    </row>
    <row r="997" customFormat="false" ht="15" hidden="false" customHeight="false" outlineLevel="0" collapsed="false">
      <c r="A997" s="17" t="n">
        <v>1996</v>
      </c>
      <c r="B997" s="17" t="n">
        <v>15</v>
      </c>
      <c r="C997" s="17" t="n">
        <v>4</v>
      </c>
      <c r="D997" s="17" t="n">
        <v>2022</v>
      </c>
      <c r="E997" s="18" t="n">
        <v>0.755</v>
      </c>
      <c r="F997" s="17" t="n">
        <v>2172</v>
      </c>
      <c r="G997" s="17" t="s">
        <v>391</v>
      </c>
      <c r="H997" s="17" t="s">
        <v>392</v>
      </c>
      <c r="I997" s="17" t="s">
        <v>393</v>
      </c>
      <c r="J997" s="17" t="s">
        <v>394</v>
      </c>
      <c r="K997" s="17" t="n">
        <v>25</v>
      </c>
      <c r="L997" s="17" t="s">
        <v>61</v>
      </c>
      <c r="M997" s="17" t="s">
        <v>32</v>
      </c>
      <c r="N997" s="19" t="n">
        <v>2.03</v>
      </c>
      <c r="O997" s="19" t="n">
        <v>50.75</v>
      </c>
      <c r="P997" s="17" t="s">
        <v>33</v>
      </c>
      <c r="Q997" s="20" t="n">
        <f aca="false">DATE(D997,C997,B997)</f>
        <v>44666</v>
      </c>
      <c r="R997" s="17" t="str">
        <f aca="false">IF(HOUR(E997)&lt;6,"Madrugada (0-5 h)",IF(HOUR(E997)&lt;12,"Mañana (6-11 h)",IF(HOUR(E997)&lt;18,"Tarde (12-17 h)","Noche (18-23 h)")))</f>
        <v>Noche (18-23 h)</v>
      </c>
    </row>
  </sheetData>
  <autoFilter ref="A1:R9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A23B"/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4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22" t="s">
        <v>493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customFormat="false" ht="15" hidden="false" customHeight="false" outlineLevel="0" collapsed="false">
      <c r="A2" s="23" t="s">
        <v>494</v>
      </c>
      <c r="B2" s="17" t="str">
        <f aca="false">IF(Dashboard!$S$4="Todos","&gt;0",Dashboard!$S$4*1)</f>
        <v>&gt;0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customFormat="false" ht="15" hidden="false" customHeight="false" outlineLevel="0" collapsed="false">
      <c r="A4" s="23" t="s">
        <v>495</v>
      </c>
      <c r="B4" s="24" t="n">
        <f aca="false">SUMIFS(Datos!$O$2:$O$997,Datos!$D$2:$D$997,$B$2)</f>
        <v>230490.18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customFormat="false" ht="15" hidden="false" customHeight="false" outlineLevel="0" collapsed="false">
      <c r="A5" s="23" t="s">
        <v>496</v>
      </c>
      <c r="B5" s="25" t="n">
        <f aca="false">COUNTIFS(Datos!$D$2:$D$997,$B$2)</f>
        <v>996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customFormat="false" ht="15" hidden="false" customHeight="false" outlineLevel="0" collapsed="false">
      <c r="A6" s="23" t="s">
        <v>497</v>
      </c>
      <c r="B6" s="26" t="n">
        <f aca="false">IFERROR(B4/B5,0)</f>
        <v>231.415843373494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customFormat="false" ht="15" hidden="false" customHeight="false" outlineLevel="0" collapsed="false">
      <c r="A7" s="23" t="s">
        <v>498</v>
      </c>
      <c r="B7" s="27" t="n">
        <f aca="false">IFERROR(SUMIFS(Datos!$O$2:$O$997,Datos!$D$2:$D$997,$B$2,Datos!$P$2:$P$997,"TARJETA")/B4,0)</f>
        <v>0.0961217957311674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customFormat="false" ht="15" hidden="false" customHeight="false" outlineLevel="0" collapsed="false">
      <c r="A8" s="23" t="s">
        <v>499</v>
      </c>
      <c r="B8" s="23" t="n">
        <f aca="false">COUNTIF(B43:B137,"&gt;0")</f>
        <v>95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customFormat="false" ht="15" hidden="false" customHeight="false" outlineLevel="0" collapsed="false">
      <c r="A11" s="28" t="s">
        <v>11</v>
      </c>
      <c r="B11" s="28" t="s">
        <v>500</v>
      </c>
      <c r="C11" s="23"/>
      <c r="D11" s="28" t="s">
        <v>21</v>
      </c>
      <c r="E11" s="28" t="s">
        <v>500</v>
      </c>
      <c r="F11" s="23"/>
      <c r="G11" s="28" t="s">
        <v>24</v>
      </c>
      <c r="H11" s="28" t="s">
        <v>500</v>
      </c>
      <c r="I11" s="23"/>
      <c r="J11" s="28" t="s">
        <v>26</v>
      </c>
      <c r="K11" s="28" t="s">
        <v>500</v>
      </c>
      <c r="L11" s="23"/>
      <c r="M11" s="28" t="s">
        <v>12</v>
      </c>
      <c r="N11" s="28" t="s">
        <v>500</v>
      </c>
    </row>
    <row r="12" customFormat="false" ht="15" hidden="false" customHeight="false" outlineLevel="0" collapsed="false">
      <c r="A12" s="23" t="s">
        <v>501</v>
      </c>
      <c r="B12" s="24" t="n">
        <f aca="false">SUMIFS(Datos!$O$2:$O$997,Datos!$D$2:$D$997,$B$2,Datos!$C$2:$C$997,ROW()-11)</f>
        <v>17409.73</v>
      </c>
      <c r="C12" s="23"/>
      <c r="D12" s="23" t="s">
        <v>32</v>
      </c>
      <c r="E12" s="24" t="n">
        <f aca="false">SUMIFS(Datos!$O$2:$O$997,Datos!$D$2:$D$997,$B$2,Datos!$M$2:$M$997,D12)</f>
        <v>77974.14</v>
      </c>
      <c r="F12" s="23"/>
      <c r="G12" s="23" t="s">
        <v>33</v>
      </c>
      <c r="H12" s="24" t="n">
        <f aca="false">SUMIFS(Datos!$O$2:$O$997,Datos!$D$2:$D$997,$B$2,Datos!$P$2:$P$997,G12)</f>
        <v>208335.05</v>
      </c>
      <c r="I12" s="23"/>
      <c r="J12" s="23" t="s">
        <v>502</v>
      </c>
      <c r="K12" s="24" t="n">
        <f aca="false">SUMIFS(Datos!$O$2:$O$997,Datos!$D$2:$D$997,$B$2,Datos!$R$2:$R$997,J12)</f>
        <v>47932.11</v>
      </c>
      <c r="L12" s="23"/>
      <c r="M12" s="23" t="n">
        <v>2020</v>
      </c>
      <c r="N12" s="24" t="n">
        <f aca="false">SUMIFS(Datos!$O$2:$O$997,Datos!$D$2:$D$997,M12)</f>
        <v>352.44</v>
      </c>
    </row>
    <row r="13" customFormat="false" ht="15" hidden="false" customHeight="false" outlineLevel="0" collapsed="false">
      <c r="A13" s="23" t="s">
        <v>503</v>
      </c>
      <c r="B13" s="24" t="n">
        <f aca="false">SUMIFS(Datos!$O$2:$O$997,Datos!$D$2:$D$997,$B$2,Datos!$C$2:$C$997,ROW()-11)</f>
        <v>18746.64</v>
      </c>
      <c r="C13" s="23"/>
      <c r="D13" s="23" t="s">
        <v>76</v>
      </c>
      <c r="E13" s="24" t="n">
        <f aca="false">SUMIFS(Datos!$O$2:$O$997,Datos!$D$2:$D$997,$B$2,Datos!$M$2:$M$997,D13)</f>
        <v>47316.66</v>
      </c>
      <c r="F13" s="23"/>
      <c r="G13" s="23" t="s">
        <v>43</v>
      </c>
      <c r="H13" s="24" t="n">
        <f aca="false">SUMIFS(Datos!$O$2:$O$997,Datos!$D$2:$D$997,$B$2,Datos!$P$2:$P$997,G13)</f>
        <v>22155.13</v>
      </c>
      <c r="I13" s="23"/>
      <c r="J13" s="23" t="s">
        <v>504</v>
      </c>
      <c r="K13" s="24" t="n">
        <f aca="false">SUMIFS(Datos!$O$2:$O$997,Datos!$D$2:$D$997,$B$2,Datos!$R$2:$R$997,J13)</f>
        <v>67213.14</v>
      </c>
      <c r="L13" s="23"/>
      <c r="M13" s="23" t="n">
        <v>2021</v>
      </c>
      <c r="N13" s="24" t="n">
        <f aca="false">SUMIFS(Datos!$O$2:$O$997,Datos!$D$2:$D$997,M13)</f>
        <v>111826.19</v>
      </c>
    </row>
    <row r="14" customFormat="false" ht="15" hidden="false" customHeight="false" outlineLevel="0" collapsed="false">
      <c r="A14" s="23" t="s">
        <v>505</v>
      </c>
      <c r="B14" s="24" t="n">
        <f aca="false">SUMIFS(Datos!$O$2:$O$997,Datos!$D$2:$D$997,$B$2,Datos!$C$2:$C$997,ROW()-11)</f>
        <v>17069.6</v>
      </c>
      <c r="C14" s="23"/>
      <c r="D14" s="23" t="s">
        <v>82</v>
      </c>
      <c r="E14" s="24" t="n">
        <f aca="false">SUMIFS(Datos!$O$2:$O$997,Datos!$D$2:$D$997,$B$2,Datos!$M$2:$M$997,D14)</f>
        <v>42533.4</v>
      </c>
      <c r="F14" s="23"/>
      <c r="G14" s="23"/>
      <c r="H14" s="23"/>
      <c r="I14" s="23"/>
      <c r="J14" s="23" t="s">
        <v>506</v>
      </c>
      <c r="K14" s="24" t="n">
        <f aca="false">SUMIFS(Datos!$O$2:$O$997,Datos!$D$2:$D$997,$B$2,Datos!$R$2:$R$997,J14)</f>
        <v>48484.2</v>
      </c>
      <c r="L14" s="23"/>
      <c r="M14" s="23" t="n">
        <v>2022</v>
      </c>
      <c r="N14" s="24" t="n">
        <f aca="false">SUMIFS(Datos!$O$2:$O$997,Datos!$D$2:$D$997,M14)</f>
        <v>118311.55</v>
      </c>
    </row>
    <row r="15" customFormat="false" ht="15" hidden="false" customHeight="false" outlineLevel="0" collapsed="false">
      <c r="A15" s="23" t="s">
        <v>507</v>
      </c>
      <c r="B15" s="24" t="n">
        <f aca="false">SUMIFS(Datos!$O$2:$O$997,Datos!$D$2:$D$997,$B$2,Datos!$C$2:$C$997,ROW()-11)</f>
        <v>14869.14</v>
      </c>
      <c r="C15" s="23"/>
      <c r="D15" s="23" t="s">
        <v>333</v>
      </c>
      <c r="E15" s="24" t="n">
        <f aca="false">SUMIFS(Datos!$O$2:$O$997,Datos!$D$2:$D$997,$B$2,Datos!$M$2:$M$997,D15)</f>
        <v>33561.46</v>
      </c>
      <c r="F15" s="23"/>
      <c r="G15" s="23"/>
      <c r="H15" s="23"/>
      <c r="I15" s="23"/>
      <c r="J15" s="23" t="s">
        <v>508</v>
      </c>
      <c r="K15" s="24" t="n">
        <f aca="false">SUMIFS(Datos!$O$2:$O$997,Datos!$D$2:$D$997,$B$2,Datos!$R$2:$R$997,J15)</f>
        <v>66860.73</v>
      </c>
      <c r="L15" s="23"/>
      <c r="M15" s="23"/>
      <c r="N15" s="23"/>
    </row>
    <row r="16" customFormat="false" ht="15" hidden="false" customHeight="false" outlineLevel="0" collapsed="false">
      <c r="A16" s="23" t="s">
        <v>509</v>
      </c>
      <c r="B16" s="24" t="n">
        <f aca="false">SUMIFS(Datos!$O$2:$O$997,Datos!$D$2:$D$997,$B$2,Datos!$C$2:$C$997,ROW()-11)</f>
        <v>18126.88</v>
      </c>
      <c r="C16" s="23"/>
      <c r="D16" s="23" t="s">
        <v>48</v>
      </c>
      <c r="E16" s="24" t="n">
        <f aca="false">SUMIFS(Datos!$O$2:$O$997,Datos!$D$2:$D$997,$B$2,Datos!$M$2:$M$997,D16)</f>
        <v>20132.29</v>
      </c>
      <c r="F16" s="23"/>
      <c r="G16" s="23"/>
      <c r="H16" s="23"/>
      <c r="I16" s="23"/>
      <c r="J16" s="23"/>
      <c r="K16" s="23"/>
      <c r="L16" s="23"/>
      <c r="M16" s="23"/>
      <c r="N16" s="23"/>
    </row>
    <row r="17" customFormat="false" ht="15" hidden="false" customHeight="false" outlineLevel="0" collapsed="false">
      <c r="A17" s="23" t="s">
        <v>510</v>
      </c>
      <c r="B17" s="24" t="n">
        <f aca="false">SUMIFS(Datos!$O$2:$O$997,Datos!$D$2:$D$997,$B$2,Datos!$C$2:$C$997,ROW()-11)</f>
        <v>16518.26</v>
      </c>
      <c r="C17" s="23"/>
      <c r="D17" s="23" t="s">
        <v>62</v>
      </c>
      <c r="E17" s="24" t="n">
        <f aca="false">SUMIFS(Datos!$O$2:$O$997,Datos!$D$2:$D$997,$B$2,Datos!$M$2:$M$997,D17)</f>
        <v>4659.97</v>
      </c>
      <c r="F17" s="23"/>
      <c r="G17" s="23"/>
      <c r="H17" s="23"/>
      <c r="I17" s="23"/>
      <c r="J17" s="23"/>
      <c r="K17" s="23"/>
      <c r="L17" s="23"/>
      <c r="M17" s="23"/>
      <c r="N17" s="23"/>
    </row>
    <row r="18" customFormat="false" ht="15" hidden="false" customHeight="false" outlineLevel="0" collapsed="false">
      <c r="A18" s="23" t="s">
        <v>511</v>
      </c>
      <c r="B18" s="24" t="n">
        <f aca="false">SUMIFS(Datos!$O$2:$O$997,Datos!$D$2:$D$997,$B$2,Datos!$C$2:$C$997,ROW()-11)</f>
        <v>18755.77</v>
      </c>
      <c r="C18" s="23"/>
      <c r="D18" s="23" t="s">
        <v>116</v>
      </c>
      <c r="E18" s="24" t="n">
        <f aca="false">SUMIFS(Datos!$O$2:$O$997,Datos!$D$2:$D$997,$B$2,Datos!$M$2:$M$997,D18)</f>
        <v>1686.42</v>
      </c>
      <c r="F18" s="23"/>
      <c r="G18" s="23"/>
      <c r="H18" s="23"/>
      <c r="I18" s="23"/>
      <c r="J18" s="23"/>
      <c r="K18" s="23"/>
      <c r="L18" s="23"/>
      <c r="M18" s="23"/>
      <c r="N18" s="23"/>
    </row>
    <row r="19" customFormat="false" ht="15" hidden="false" customHeight="false" outlineLevel="0" collapsed="false">
      <c r="A19" s="23" t="s">
        <v>512</v>
      </c>
      <c r="B19" s="24" t="n">
        <f aca="false">SUMIFS(Datos!$O$2:$O$997,Datos!$D$2:$D$997,$B$2,Datos!$C$2:$C$997,ROW()-11)</f>
        <v>17703.31</v>
      </c>
      <c r="C19" s="23"/>
      <c r="D19" s="23" t="s">
        <v>71</v>
      </c>
      <c r="E19" s="24" t="n">
        <f aca="false">SUMIFS(Datos!$O$2:$O$997,Datos!$D$2:$D$997,$B$2,Datos!$M$2:$M$997,D19)</f>
        <v>1666.5</v>
      </c>
      <c r="F19" s="23"/>
      <c r="G19" s="23"/>
      <c r="H19" s="23"/>
      <c r="I19" s="23"/>
      <c r="J19" s="23"/>
      <c r="K19" s="23"/>
      <c r="L19" s="23"/>
      <c r="M19" s="23"/>
      <c r="N19" s="23"/>
    </row>
    <row r="20" customFormat="false" ht="15" hidden="false" customHeight="false" outlineLevel="0" collapsed="false">
      <c r="A20" s="23" t="s">
        <v>513</v>
      </c>
      <c r="B20" s="24" t="n">
        <f aca="false">SUMIFS(Datos!$O$2:$O$997,Datos!$D$2:$D$997,$B$2,Datos!$C$2:$C$997,ROW()-11)</f>
        <v>21406.66</v>
      </c>
      <c r="C20" s="23"/>
      <c r="D20" s="23" t="s">
        <v>120</v>
      </c>
      <c r="E20" s="24" t="n">
        <f aca="false">SUMIFS(Datos!$O$2:$O$997,Datos!$D$2:$D$997,$B$2,Datos!$M$2:$M$997,D20)</f>
        <v>959.34</v>
      </c>
      <c r="F20" s="23"/>
      <c r="G20" s="23"/>
      <c r="H20" s="23"/>
      <c r="I20" s="23"/>
      <c r="J20" s="23"/>
      <c r="K20" s="23"/>
      <c r="L20" s="23"/>
      <c r="M20" s="23"/>
      <c r="N20" s="23"/>
    </row>
    <row r="21" customFormat="false" ht="15" hidden="false" customHeight="false" outlineLevel="0" collapsed="false">
      <c r="A21" s="23" t="s">
        <v>514</v>
      </c>
      <c r="B21" s="24" t="n">
        <f aca="false">SUMIFS(Datos!$O$2:$O$997,Datos!$D$2:$D$997,$B$2,Datos!$C$2:$C$997,ROW()-11)</f>
        <v>17206.32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customFormat="false" ht="15" hidden="false" customHeight="false" outlineLevel="0" collapsed="false">
      <c r="A22" s="23" t="s">
        <v>515</v>
      </c>
      <c r="B22" s="24" t="n">
        <f aca="false">SUMIFS(Datos!$O$2:$O$997,Datos!$D$2:$D$997,$B$2,Datos!$C$2:$C$997,ROW()-11)</f>
        <v>21401.51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15" hidden="false" customHeight="false" outlineLevel="0" collapsed="false">
      <c r="A23" s="23" t="s">
        <v>516</v>
      </c>
      <c r="B23" s="24" t="n">
        <f aca="false">SUMIFS(Datos!$O$2:$O$997,Datos!$D$2:$D$997,$B$2,Datos!$C$2:$C$997,ROW()-11)</f>
        <v>31276.36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customFormat="false" ht="15" hidden="false" customHeight="false" outlineLevel="0" collapsed="false">
      <c r="A27" s="28" t="s">
        <v>517</v>
      </c>
      <c r="B27" s="28" t="s">
        <v>518</v>
      </c>
      <c r="C27" s="28" t="s">
        <v>500</v>
      </c>
      <c r="D27" s="23"/>
      <c r="E27" s="28" t="s">
        <v>517</v>
      </c>
      <c r="F27" s="28" t="s">
        <v>519</v>
      </c>
      <c r="G27" s="28" t="s">
        <v>500</v>
      </c>
      <c r="H27" s="23"/>
      <c r="I27" s="23"/>
      <c r="J27" s="29" t="s">
        <v>520</v>
      </c>
      <c r="K27" s="23"/>
      <c r="L27" s="23"/>
      <c r="M27" s="23"/>
      <c r="N27" s="23"/>
    </row>
    <row r="28" customFormat="false" ht="15" hidden="false" customHeight="false" outlineLevel="0" collapsed="false">
      <c r="A28" s="23" t="n">
        <v>1</v>
      </c>
      <c r="B28" s="23" t="str">
        <f aca="false">INDEX($A$43:$A$137,MATCH(A28,$D$43:$D$137,0))</f>
        <v>PASTEL</v>
      </c>
      <c r="C28" s="24" t="n">
        <f aca="false">INDEX($B$43:$B$137,MATCH(A28,$D$43:$D$137,0))</f>
        <v>14683.04</v>
      </c>
      <c r="D28" s="23"/>
      <c r="E28" s="23" t="n">
        <v>1</v>
      </c>
      <c r="F28" s="23" t="str">
        <f aca="false">INDEX($F$43:$F$135,MATCH(E28,$I$43:$I$135,0))</f>
        <v>YUMMI</v>
      </c>
      <c r="G28" s="24" t="n">
        <f aca="false">INDEX($G$43:$G$135,MATCH(E28,$I$43:$I$135,0))</f>
        <v>14683.04</v>
      </c>
      <c r="H28" s="23"/>
      <c r="I28" s="23"/>
      <c r="J28" s="23" t="str">
        <f aca="false">INDEX(D12:D20,MATCH(MAX(E12:E20),E12:E20,0))</f>
        <v>ALMACÉN</v>
      </c>
      <c r="K28" s="24" t="n">
        <f aca="false">MAX(E12:E20)</f>
        <v>77974.14</v>
      </c>
      <c r="L28" s="23"/>
      <c r="M28" s="23"/>
      <c r="N28" s="23"/>
    </row>
    <row r="29" customFormat="false" ht="15" hidden="false" customHeight="false" outlineLevel="0" collapsed="false">
      <c r="A29" s="23" t="n">
        <v>2</v>
      </c>
      <c r="B29" s="23" t="str">
        <f aca="false">INDEX($A$43:$A$137,MATCH(A29,$D$43:$D$137,0))</f>
        <v>TORTA</v>
      </c>
      <c r="C29" s="24" t="n">
        <f aca="false">INDEX($B$43:$B$137,MATCH(A29,$D$43:$D$137,0))</f>
        <v>13824</v>
      </c>
      <c r="D29" s="23"/>
      <c r="E29" s="23" t="n">
        <v>2</v>
      </c>
      <c r="F29" s="23" t="str">
        <f aca="false">INDEX($F$43:$F$135,MATCH(E29,$I$43:$I$135,0))</f>
        <v>FOOD</v>
      </c>
      <c r="G29" s="24" t="n">
        <f aca="false">INDEX($G$43:$G$135,MATCH(E29,$I$43:$I$135,0))</f>
        <v>13824</v>
      </c>
      <c r="H29" s="23"/>
      <c r="I29" s="23"/>
      <c r="J29" s="23" t="str">
        <f aca="false">INDEX(A12:A23,MATCH(MAX(B12:B23),B12:B23,0))</f>
        <v>Dic</v>
      </c>
      <c r="K29" s="24" t="n">
        <f aca="false">MAX(B12:B23)</f>
        <v>31276.36</v>
      </c>
      <c r="L29" s="23"/>
      <c r="M29" s="23"/>
      <c r="N29" s="23"/>
    </row>
    <row r="30" customFormat="false" ht="15" hidden="false" customHeight="false" outlineLevel="0" collapsed="false">
      <c r="A30" s="23" t="n">
        <v>3</v>
      </c>
      <c r="B30" s="23" t="str">
        <f aca="false">INDEX($A$43:$A$137,MATCH(A30,$D$43:$D$137,0))</f>
        <v>DETERGENTE</v>
      </c>
      <c r="C30" s="24" t="n">
        <f aca="false">INDEX($B$43:$B$137,MATCH(A30,$D$43:$D$137,0))</f>
        <v>8404.23</v>
      </c>
      <c r="D30" s="23"/>
      <c r="E30" s="23" t="n">
        <v>3</v>
      </c>
      <c r="F30" s="23" t="str">
        <f aca="false">INDEX($F$43:$F$135,MATCH(E30,$I$43:$I$135,0))</f>
        <v>FADIAL SRL</v>
      </c>
      <c r="G30" s="24" t="n">
        <f aca="false">INDEX($G$43:$G$135,MATCH(E30,$I$43:$I$135,0))</f>
        <v>11512.38</v>
      </c>
      <c r="H30" s="23"/>
      <c r="I30" s="23"/>
      <c r="J30" s="23" t="str">
        <f aca="false">B28</f>
        <v>PASTEL</v>
      </c>
      <c r="K30" s="24" t="n">
        <f aca="false">C28</f>
        <v>14683.04</v>
      </c>
      <c r="L30" s="23"/>
      <c r="M30" s="23"/>
      <c r="N30" s="23"/>
    </row>
    <row r="31" customFormat="false" ht="15" hidden="false" customHeight="false" outlineLevel="0" collapsed="false">
      <c r="A31" s="23" t="n">
        <v>4</v>
      </c>
      <c r="B31" s="23" t="str">
        <f aca="false">INDEX($A$43:$A$137,MATCH(A31,$D$43:$D$137,0))</f>
        <v>LUSTRAMUEBLES</v>
      </c>
      <c r="C31" s="24" t="n">
        <f aca="false">INDEX($B$43:$B$137,MATCH(A31,$D$43:$D$137,0))</f>
        <v>7032.45</v>
      </c>
      <c r="D31" s="23"/>
      <c r="E31" s="23" t="n">
        <v>4</v>
      </c>
      <c r="F31" s="23" t="str">
        <f aca="false">INDEX($F$43:$F$135,MATCH(E31,$I$43:$I$135,0))</f>
        <v>CERA SUIZA</v>
      </c>
      <c r="G31" s="24" t="n">
        <f aca="false">INDEX($G$43:$G$135,MATCH(E31,$I$43:$I$135,0))</f>
        <v>7032.45</v>
      </c>
      <c r="H31" s="23"/>
      <c r="I31" s="23"/>
      <c r="J31" s="23"/>
      <c r="K31" s="23"/>
      <c r="L31" s="23"/>
      <c r="M31" s="23"/>
      <c r="N31" s="23"/>
    </row>
    <row r="32" customFormat="false" ht="15" hidden="false" customHeight="false" outlineLevel="0" collapsed="false">
      <c r="A32" s="23" t="n">
        <v>5</v>
      </c>
      <c r="B32" s="23" t="str">
        <f aca="false">INDEX($A$43:$A$137,MATCH(A32,$D$43:$D$137,0))</f>
        <v>COLONIA</v>
      </c>
      <c r="C32" s="24" t="n">
        <f aca="false">INDEX($B$43:$B$137,MATCH(A32,$D$43:$D$137,0))</f>
        <v>6693.35</v>
      </c>
      <c r="D32" s="23"/>
      <c r="E32" s="23" t="n">
        <v>5</v>
      </c>
      <c r="F32" s="23" t="str">
        <f aca="false">INDEX($F$43:$F$135,MATCH(E32,$I$43:$I$135,0))</f>
        <v>LABORATORIOS KITY</v>
      </c>
      <c r="G32" s="24" t="n">
        <f aca="false">INDEX($G$43:$G$135,MATCH(E32,$I$43:$I$135,0))</f>
        <v>6693.35</v>
      </c>
      <c r="H32" s="23"/>
      <c r="I32" s="23"/>
      <c r="J32" s="23"/>
      <c r="K32" s="23"/>
      <c r="L32" s="23"/>
      <c r="M32" s="23"/>
      <c r="N32" s="23"/>
    </row>
    <row r="33" customFormat="false" ht="15" hidden="false" customHeight="false" outlineLevel="0" collapsed="false">
      <c r="A33" s="23" t="n">
        <v>6</v>
      </c>
      <c r="B33" s="23" t="str">
        <f aca="false">INDEX($A$43:$A$137,MATCH(A33,$D$43:$D$137,0))</f>
        <v>SUAVIZANTE</v>
      </c>
      <c r="C33" s="24" t="n">
        <f aca="false">INDEX($B$43:$B$137,MATCH(A33,$D$43:$D$137,0))</f>
        <v>6439.68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customFormat="false" ht="15" hidden="false" customHeight="false" outlineLevel="0" collapsed="false">
      <c r="A34" s="23" t="n">
        <v>7</v>
      </c>
      <c r="B34" s="23" t="str">
        <f aca="false">INDEX($A$43:$A$137,MATCH(A34,$D$43:$D$137,0))</f>
        <v>COLLAR</v>
      </c>
      <c r="C34" s="24" t="n">
        <f aca="false">INDEX($B$43:$B$137,MATCH(A34,$D$43:$D$137,0))</f>
        <v>5614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customFormat="false" ht="15" hidden="false" customHeight="false" outlineLevel="0" collapsed="false">
      <c r="A35" s="23" t="n">
        <v>8</v>
      </c>
      <c r="B35" s="23" t="str">
        <f aca="false">INDEX($A$43:$A$137,MATCH(A35,$D$43:$D$137,0))</f>
        <v>SHAMPOO</v>
      </c>
      <c r="C35" s="24" t="n">
        <f aca="false">INDEX($B$43:$B$137,MATCH(A35,$D$43:$D$137,0))</f>
        <v>5420.85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customFormat="false" ht="15" hidden="false" customHeight="false" outlineLevel="0" collapsed="false">
      <c r="A36" s="23" t="n">
        <v>9</v>
      </c>
      <c r="B36" s="23" t="str">
        <f aca="false">INDEX($A$43:$A$137,MATCH(A36,$D$43:$D$137,0))</f>
        <v>SHAMPOO BABY</v>
      </c>
      <c r="C36" s="24" t="n">
        <f aca="false">INDEX($B$43:$B$137,MATCH(A36,$D$43:$D$137,0))</f>
        <v>5350.17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15" hidden="false" customHeight="false" outlineLevel="0" collapsed="false">
      <c r="A37" s="23" t="n">
        <v>10</v>
      </c>
      <c r="B37" s="23" t="str">
        <f aca="false">INDEX($A$43:$A$137,MATCH(A37,$D$43:$D$137,0))</f>
        <v>DETERGENTE LIQUIDO</v>
      </c>
      <c r="C37" s="24" t="n">
        <f aca="false">INDEX($B$43:$B$137,MATCH(A37,$D$43:$D$137,0))</f>
        <v>4501.44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customFormat="false" ht="15" hidden="false" customHeight="false" outlineLevel="0" collapsed="false">
      <c r="A42" s="28" t="s">
        <v>15</v>
      </c>
      <c r="B42" s="28" t="s">
        <v>500</v>
      </c>
      <c r="C42" s="28" t="s">
        <v>521</v>
      </c>
      <c r="D42" s="28" t="s">
        <v>522</v>
      </c>
      <c r="E42" s="23"/>
      <c r="F42" s="28" t="s">
        <v>18</v>
      </c>
      <c r="G42" s="28" t="s">
        <v>500</v>
      </c>
      <c r="H42" s="28" t="s">
        <v>521</v>
      </c>
      <c r="I42" s="28" t="s">
        <v>522</v>
      </c>
      <c r="J42" s="23"/>
      <c r="K42" s="23"/>
      <c r="L42" s="23"/>
      <c r="M42" s="23"/>
      <c r="N42" s="23"/>
    </row>
    <row r="43" customFormat="false" ht="15" hidden="false" customHeight="false" outlineLevel="0" collapsed="false">
      <c r="A43" s="23" t="s">
        <v>399</v>
      </c>
      <c r="B43" s="26" t="n">
        <f aca="false">SUMIFS(Datos!$O$2:$O$997,Datos!$G$2:$G$997,A43,Datos!$D$2:$D$997,$B$2)</f>
        <v>2064.16</v>
      </c>
      <c r="C43" s="23" t="n">
        <f aca="false">B43+ROW()/1000000</f>
        <v>2064.160043</v>
      </c>
      <c r="D43" s="23" t="n">
        <f aca="false">RANK(C43,$C$43:$C$137,0)</f>
        <v>39</v>
      </c>
      <c r="E43" s="23"/>
      <c r="F43" s="23" t="s">
        <v>195</v>
      </c>
      <c r="G43" s="26" t="n">
        <f aca="false">SUMIFS(Datos!$O$2:$O$997,Datos!$J$2:$J$997,F43,Datos!$D$2:$D$997,$B$2)</f>
        <v>2189.94</v>
      </c>
      <c r="H43" s="23" t="n">
        <f aca="false">G43+ROW()/1000000</f>
        <v>2189.940043</v>
      </c>
      <c r="I43" s="23" t="n">
        <f aca="false">RANK(H43,$H$43:$H$135,0)</f>
        <v>36</v>
      </c>
      <c r="J43" s="23"/>
      <c r="K43" s="23"/>
      <c r="L43" s="23"/>
      <c r="M43" s="23"/>
      <c r="N43" s="23"/>
    </row>
    <row r="44" customFormat="false" ht="15" hidden="false" customHeight="false" outlineLevel="0" collapsed="false">
      <c r="A44" s="23" t="s">
        <v>238</v>
      </c>
      <c r="B44" s="26" t="n">
        <f aca="false">SUMIFS(Datos!$O$2:$O$997,Datos!$G$2:$G$997,A44,Datos!$D$2:$D$997,$B$2)</f>
        <v>3158.75</v>
      </c>
      <c r="C44" s="23" t="n">
        <f aca="false">B44+ROW()/1000000</f>
        <v>3158.750044</v>
      </c>
      <c r="D44" s="23" t="n">
        <f aca="false">RANK(C44,$C$43:$C$137,0)</f>
        <v>22</v>
      </c>
      <c r="E44" s="23"/>
      <c r="F44" s="23" t="s">
        <v>306</v>
      </c>
      <c r="G44" s="26" t="n">
        <f aca="false">SUMIFS(Datos!$O$2:$O$997,Datos!$J$2:$J$997,F44,Datos!$D$2:$D$997,$B$2)</f>
        <v>1623.24</v>
      </c>
      <c r="H44" s="23" t="n">
        <f aca="false">G44+ROW()/1000000</f>
        <v>1623.240044</v>
      </c>
      <c r="I44" s="23" t="n">
        <f aca="false">RANK(H44,$H$43:$H$135,0)</f>
        <v>55</v>
      </c>
      <c r="J44" s="23"/>
      <c r="K44" s="23"/>
      <c r="L44" s="23"/>
      <c r="M44" s="23"/>
      <c r="N44" s="23"/>
    </row>
    <row r="45" customFormat="false" ht="15" hidden="false" customHeight="false" outlineLevel="0" collapsed="false">
      <c r="A45" s="23" t="s">
        <v>295</v>
      </c>
      <c r="B45" s="26" t="n">
        <f aca="false">SUMIFS(Datos!$O$2:$O$997,Datos!$G$2:$G$997,A45,Datos!$D$2:$D$997,$B$2)</f>
        <v>868</v>
      </c>
      <c r="C45" s="23" t="n">
        <f aca="false">B45+ROW()/1000000</f>
        <v>868.000045</v>
      </c>
      <c r="D45" s="23" t="n">
        <f aca="false">RANK(C45,$C$43:$C$137,0)</f>
        <v>81</v>
      </c>
      <c r="E45" s="23"/>
      <c r="F45" s="23" t="s">
        <v>309</v>
      </c>
      <c r="G45" s="26" t="n">
        <f aca="false">SUMIFS(Datos!$O$2:$O$997,Datos!$J$2:$J$997,F45,Datos!$D$2:$D$997,$B$2)</f>
        <v>2180.85</v>
      </c>
      <c r="H45" s="23" t="n">
        <f aca="false">G45+ROW()/1000000</f>
        <v>2180.850045</v>
      </c>
      <c r="I45" s="23" t="n">
        <f aca="false">RANK(H45,$H$43:$H$135,0)</f>
        <v>37</v>
      </c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3" t="s">
        <v>126</v>
      </c>
      <c r="B46" s="26" t="n">
        <f aca="false">SUMIFS(Datos!$O$2:$O$997,Datos!$G$2:$G$997,A46,Datos!$D$2:$D$997,$B$2)</f>
        <v>799.1</v>
      </c>
      <c r="C46" s="23" t="n">
        <f aca="false">B46+ROW()/1000000</f>
        <v>799.100046</v>
      </c>
      <c r="D46" s="23" t="n">
        <f aca="false">RANK(C46,$C$43:$C$137,0)</f>
        <v>85</v>
      </c>
      <c r="E46" s="23"/>
      <c r="F46" s="23" t="s">
        <v>410</v>
      </c>
      <c r="G46" s="26" t="n">
        <f aca="false">SUMIFS(Datos!$O$2:$O$997,Datos!$J$2:$J$997,F46,Datos!$D$2:$D$997,$B$2)</f>
        <v>97.5</v>
      </c>
      <c r="H46" s="23" t="n">
        <f aca="false">G46+ROW()/1000000</f>
        <v>97.500046</v>
      </c>
      <c r="I46" s="23" t="n">
        <f aca="false">RANK(H46,$H$43:$H$135,0)</f>
        <v>93</v>
      </c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3" t="s">
        <v>383</v>
      </c>
      <c r="B47" s="26" t="n">
        <f aca="false">SUMIFS(Datos!$O$2:$O$997,Datos!$G$2:$G$997,A47,Datos!$D$2:$D$997,$B$2)</f>
        <v>522.6</v>
      </c>
      <c r="C47" s="23" t="n">
        <f aca="false">B47+ROW()/1000000</f>
        <v>522.600047</v>
      </c>
      <c r="D47" s="23" t="n">
        <f aca="false">RANK(C47,$C$43:$C$137,0)</f>
        <v>90</v>
      </c>
      <c r="E47" s="23"/>
      <c r="F47" s="23" t="s">
        <v>313</v>
      </c>
      <c r="G47" s="26" t="n">
        <f aca="false">SUMIFS(Datos!$O$2:$O$997,Datos!$J$2:$J$997,F47,Datos!$D$2:$D$997,$B$2)</f>
        <v>455.7</v>
      </c>
      <c r="H47" s="23" t="n">
        <f aca="false">G47+ROW()/1000000</f>
        <v>455.700047</v>
      </c>
      <c r="I47" s="23" t="n">
        <f aca="false">RANK(H47,$H$43:$H$135,0)</f>
        <v>89</v>
      </c>
      <c r="J47" s="23"/>
      <c r="K47" s="23"/>
      <c r="L47" s="23"/>
      <c r="M47" s="23"/>
      <c r="N47" s="23"/>
    </row>
    <row r="48" customFormat="false" ht="15" hidden="false" customHeight="false" outlineLevel="0" collapsed="false">
      <c r="A48" s="23" t="s">
        <v>224</v>
      </c>
      <c r="B48" s="26" t="n">
        <f aca="false">SUMIFS(Datos!$O$2:$O$997,Datos!$G$2:$G$997,A48,Datos!$D$2:$D$997,$B$2)</f>
        <v>1438.15</v>
      </c>
      <c r="C48" s="23" t="n">
        <f aca="false">B48+ROW()/1000000</f>
        <v>1438.150048</v>
      </c>
      <c r="D48" s="23" t="n">
        <f aca="false">RANK(C48,$C$43:$C$137,0)</f>
        <v>59</v>
      </c>
      <c r="E48" s="23"/>
      <c r="F48" s="23" t="s">
        <v>372</v>
      </c>
      <c r="G48" s="26" t="n">
        <f aca="false">SUMIFS(Datos!$O$2:$O$997,Datos!$J$2:$J$997,F48,Datos!$D$2:$D$997,$B$2)</f>
        <v>1940.12</v>
      </c>
      <c r="H48" s="23" t="n">
        <f aca="false">G48+ROW()/1000000</f>
        <v>1940.120048</v>
      </c>
      <c r="I48" s="23" t="n">
        <f aca="false">RANK(H48,$H$43:$H$135,0)</f>
        <v>48</v>
      </c>
      <c r="J48" s="23"/>
      <c r="K48" s="23"/>
      <c r="L48" s="23"/>
      <c r="M48" s="23"/>
      <c r="N48" s="23"/>
    </row>
    <row r="49" customFormat="false" ht="15" hidden="false" customHeight="false" outlineLevel="0" collapsed="false">
      <c r="A49" s="23" t="s">
        <v>260</v>
      </c>
      <c r="B49" s="26" t="n">
        <f aca="false">SUMIFS(Datos!$O$2:$O$997,Datos!$G$2:$G$997,A49,Datos!$D$2:$D$997,$B$2)</f>
        <v>3282.5</v>
      </c>
      <c r="C49" s="23" t="n">
        <f aca="false">B49+ROW()/1000000</f>
        <v>3282.500049</v>
      </c>
      <c r="D49" s="23" t="n">
        <f aca="false">RANK(C49,$C$43:$C$137,0)</f>
        <v>19</v>
      </c>
      <c r="E49" s="23"/>
      <c r="F49" s="23" t="s">
        <v>402</v>
      </c>
      <c r="G49" s="26" t="n">
        <f aca="false">SUMIFS(Datos!$O$2:$O$997,Datos!$J$2:$J$997,F49,Datos!$D$2:$D$997,$B$2)</f>
        <v>2064.16</v>
      </c>
      <c r="H49" s="23" t="n">
        <f aca="false">G49+ROW()/1000000</f>
        <v>2064.160049</v>
      </c>
      <c r="I49" s="23" t="n">
        <f aca="false">RANK(H49,$H$43:$H$135,0)</f>
        <v>42</v>
      </c>
      <c r="J49" s="23"/>
      <c r="K49" s="23"/>
      <c r="L49" s="23"/>
      <c r="M49" s="23"/>
      <c r="N49" s="23"/>
    </row>
    <row r="50" customFormat="false" ht="15" hidden="false" customHeight="false" outlineLevel="0" collapsed="false">
      <c r="A50" s="23" t="s">
        <v>63</v>
      </c>
      <c r="B50" s="26" t="n">
        <f aca="false">SUMIFS(Datos!$O$2:$O$997,Datos!$G$2:$G$997,A50,Datos!$D$2:$D$997,$B$2)</f>
        <v>3657</v>
      </c>
      <c r="C50" s="23" t="n">
        <f aca="false">B50+ROW()/1000000</f>
        <v>3657.00005</v>
      </c>
      <c r="D50" s="23" t="n">
        <f aca="false">RANK(C50,$C$43:$C$137,0)</f>
        <v>15</v>
      </c>
      <c r="E50" s="23"/>
      <c r="F50" s="23" t="s">
        <v>348</v>
      </c>
      <c r="G50" s="26" t="n">
        <f aca="false">SUMIFS(Datos!$O$2:$O$997,Datos!$J$2:$J$997,F50,Datos!$D$2:$D$997,$B$2)</f>
        <v>5614</v>
      </c>
      <c r="H50" s="23" t="n">
        <f aca="false">G50+ROW()/1000000</f>
        <v>5614.00005</v>
      </c>
      <c r="I50" s="23" t="n">
        <f aca="false">RANK(H50,$H$43:$H$135,0)</f>
        <v>6</v>
      </c>
      <c r="J50" s="23"/>
      <c r="K50" s="23"/>
      <c r="L50" s="23"/>
      <c r="M50" s="23"/>
      <c r="N50" s="23"/>
    </row>
    <row r="51" customFormat="false" ht="15" hidden="false" customHeight="false" outlineLevel="0" collapsed="false">
      <c r="A51" s="23" t="s">
        <v>27</v>
      </c>
      <c r="B51" s="26" t="n">
        <f aca="false">SUMIFS(Datos!$O$2:$O$997,Datos!$G$2:$G$997,A51,Datos!$D$2:$D$997,$B$2)</f>
        <v>840.16</v>
      </c>
      <c r="C51" s="23" t="n">
        <f aca="false">B51+ROW()/1000000</f>
        <v>840.160051</v>
      </c>
      <c r="D51" s="23" t="n">
        <f aca="false">RANK(C51,$C$43:$C$137,0)</f>
        <v>82</v>
      </c>
      <c r="E51" s="23"/>
      <c r="F51" s="23" t="s">
        <v>191</v>
      </c>
      <c r="G51" s="26" t="n">
        <f aca="false">SUMIFS(Datos!$O$2:$O$997,Datos!$J$2:$J$997,F51,Datos!$D$2:$D$997,$B$2)</f>
        <v>7032.45</v>
      </c>
      <c r="H51" s="23" t="n">
        <f aca="false">G51+ROW()/1000000</f>
        <v>7032.450051</v>
      </c>
      <c r="I51" s="23" t="n">
        <f aca="false">RANK(H51,$H$43:$H$135,0)</f>
        <v>4</v>
      </c>
      <c r="J51" s="23"/>
      <c r="K51" s="23"/>
      <c r="L51" s="23"/>
      <c r="M51" s="23"/>
      <c r="N51" s="23"/>
    </row>
    <row r="52" customFormat="false" ht="15" hidden="false" customHeight="false" outlineLevel="0" collapsed="false">
      <c r="A52" s="23" t="s">
        <v>77</v>
      </c>
      <c r="B52" s="26" t="n">
        <f aca="false">SUMIFS(Datos!$O$2:$O$997,Datos!$G$2:$G$997,A52,Datos!$D$2:$D$997,$B$2)</f>
        <v>2082.96</v>
      </c>
      <c r="C52" s="23" t="n">
        <f aca="false">B52+ROW()/1000000</f>
        <v>2082.960052</v>
      </c>
      <c r="D52" s="23" t="n">
        <f aca="false">RANK(C52,$C$43:$C$137,0)</f>
        <v>38</v>
      </c>
      <c r="E52" s="23"/>
      <c r="F52" s="23" t="s">
        <v>352</v>
      </c>
      <c r="G52" s="26" t="n">
        <f aca="false">SUMIFS(Datos!$O$2:$O$997,Datos!$J$2:$J$997,F52,Datos!$D$2:$D$997,$B$2)</f>
        <v>2457.84</v>
      </c>
      <c r="H52" s="23" t="n">
        <f aca="false">G52+ROW()/1000000</f>
        <v>2457.840052</v>
      </c>
      <c r="I52" s="23" t="n">
        <f aca="false">RANK(H52,$H$43:$H$135,0)</f>
        <v>32</v>
      </c>
      <c r="J52" s="23"/>
      <c r="K52" s="23"/>
      <c r="L52" s="23"/>
      <c r="M52" s="23"/>
      <c r="N52" s="23"/>
    </row>
    <row r="53" customFormat="false" ht="15" hidden="false" customHeight="false" outlineLevel="0" collapsed="false">
      <c r="A53" s="23" t="s">
        <v>38</v>
      </c>
      <c r="B53" s="26" t="n">
        <f aca="false">SUMIFS(Datos!$O$2:$O$997,Datos!$G$2:$G$997,A53,Datos!$D$2:$D$997,$B$2)</f>
        <v>1952.88</v>
      </c>
      <c r="C53" s="23" t="n">
        <f aca="false">B53+ROW()/1000000</f>
        <v>1952.880053</v>
      </c>
      <c r="D53" s="23" t="n">
        <f aca="false">RANK(C53,$C$43:$C$137,0)</f>
        <v>42</v>
      </c>
      <c r="E53" s="23"/>
      <c r="F53" s="23" t="s">
        <v>223</v>
      </c>
      <c r="G53" s="26" t="n">
        <f aca="false">SUMIFS(Datos!$O$2:$O$997,Datos!$J$2:$J$997,F53,Datos!$D$2:$D$997,$B$2)</f>
        <v>2465.42</v>
      </c>
      <c r="H53" s="23" t="n">
        <f aca="false">G53+ROW()/1000000</f>
        <v>2465.420053</v>
      </c>
      <c r="I53" s="23" t="n">
        <f aca="false">RANK(H53,$H$43:$H$135,0)</f>
        <v>31</v>
      </c>
      <c r="J53" s="23"/>
      <c r="K53" s="23"/>
      <c r="L53" s="23"/>
      <c r="M53" s="23"/>
      <c r="N53" s="23"/>
    </row>
    <row r="54" customFormat="false" ht="15" hidden="false" customHeight="false" outlineLevel="0" collapsed="false">
      <c r="A54" s="23" t="s">
        <v>149</v>
      </c>
      <c r="B54" s="26" t="n">
        <f aca="false">SUMIFS(Datos!$O$2:$O$997,Datos!$G$2:$G$997,A54,Datos!$D$2:$D$997,$B$2)</f>
        <v>3168.72</v>
      </c>
      <c r="C54" s="23" t="n">
        <f aca="false">B54+ROW()/1000000</f>
        <v>3168.720054</v>
      </c>
      <c r="D54" s="23" t="n">
        <f aca="false">RANK(C54,$C$43:$C$137,0)</f>
        <v>21</v>
      </c>
      <c r="E54" s="23"/>
      <c r="F54" s="23" t="s">
        <v>328</v>
      </c>
      <c r="G54" s="26" t="n">
        <f aca="false">SUMIFS(Datos!$O$2:$O$997,Datos!$J$2:$J$997,F54,Datos!$D$2:$D$997,$B$2)</f>
        <v>1467.84</v>
      </c>
      <c r="H54" s="23" t="n">
        <f aca="false">G54+ROW()/1000000</f>
        <v>1467.840054</v>
      </c>
      <c r="I54" s="23" t="n">
        <f aca="false">RANK(H54,$H$43:$H$135,0)</f>
        <v>58</v>
      </c>
      <c r="J54" s="23"/>
      <c r="K54" s="23"/>
      <c r="L54" s="23"/>
      <c r="M54" s="23"/>
      <c r="N54" s="23"/>
    </row>
    <row r="55" customFormat="false" ht="15" hidden="false" customHeight="false" outlineLevel="0" collapsed="false">
      <c r="A55" s="23" t="s">
        <v>196</v>
      </c>
      <c r="B55" s="26" t="n">
        <f aca="false">SUMIFS(Datos!$O$2:$O$997,Datos!$G$2:$G$997,A55,Datos!$D$2:$D$997,$B$2)</f>
        <v>1852.62</v>
      </c>
      <c r="C55" s="23" t="n">
        <f aca="false">B55+ROW()/1000000</f>
        <v>1852.620055</v>
      </c>
      <c r="D55" s="23" t="n">
        <f aca="false">RANK(C55,$C$43:$C$137,0)</f>
        <v>48</v>
      </c>
      <c r="E55" s="23"/>
      <c r="F55" s="23" t="s">
        <v>325</v>
      </c>
      <c r="G55" s="26" t="n">
        <f aca="false">SUMIFS(Datos!$O$2:$O$997,Datos!$J$2:$J$997,F55,Datos!$D$2:$D$997,$B$2)</f>
        <v>2362.85</v>
      </c>
      <c r="H55" s="23" t="n">
        <f aca="false">G55+ROW()/1000000</f>
        <v>2362.850055</v>
      </c>
      <c r="I55" s="23" t="n">
        <f aca="false">RANK(H55,$H$43:$H$135,0)</f>
        <v>34</v>
      </c>
      <c r="J55" s="23"/>
      <c r="K55" s="23"/>
      <c r="L55" s="23"/>
      <c r="M55" s="23"/>
      <c r="N55" s="23"/>
    </row>
    <row r="56" customFormat="false" ht="15" hidden="false" customHeight="false" outlineLevel="0" collapsed="false">
      <c r="A56" s="23" t="s">
        <v>377</v>
      </c>
      <c r="B56" s="26" t="n">
        <f aca="false">SUMIFS(Datos!$O$2:$O$997,Datos!$G$2:$G$997,A56,Datos!$D$2:$D$997,$B$2)</f>
        <v>1518.3</v>
      </c>
      <c r="C56" s="23" t="n">
        <f aca="false">B56+ROW()/1000000</f>
        <v>1518.300056</v>
      </c>
      <c r="D56" s="23" t="n">
        <f aca="false">RANK(C56,$C$43:$C$137,0)</f>
        <v>55</v>
      </c>
      <c r="E56" s="23"/>
      <c r="F56" s="23" t="s">
        <v>321</v>
      </c>
      <c r="G56" s="26" t="n">
        <f aca="false">SUMIFS(Datos!$O$2:$O$997,Datos!$J$2:$J$997,F56,Datos!$D$2:$D$997,$B$2)</f>
        <v>1234.1</v>
      </c>
      <c r="H56" s="23" t="n">
        <f aca="false">G56+ROW()/1000000</f>
        <v>1234.100056</v>
      </c>
      <c r="I56" s="23" t="n">
        <f aca="false">RANK(H56,$H$43:$H$135,0)</f>
        <v>67</v>
      </c>
      <c r="J56" s="23"/>
      <c r="K56" s="23"/>
      <c r="L56" s="23"/>
      <c r="M56" s="23"/>
      <c r="N56" s="23"/>
    </row>
    <row r="57" customFormat="false" ht="15" hidden="false" customHeight="false" outlineLevel="0" collapsed="false">
      <c r="A57" s="23" t="s">
        <v>153</v>
      </c>
      <c r="B57" s="26" t="n">
        <f aca="false">SUMIFS(Datos!$O$2:$O$997,Datos!$G$2:$G$997,A57,Datos!$D$2:$D$997,$B$2)</f>
        <v>1964.41</v>
      </c>
      <c r="C57" s="23" t="n">
        <f aca="false">B57+ROW()/1000000</f>
        <v>1964.410057</v>
      </c>
      <c r="D57" s="23" t="n">
        <f aca="false">RANK(C57,$C$43:$C$137,0)</f>
        <v>41</v>
      </c>
      <c r="E57" s="23"/>
      <c r="F57" s="23" t="s">
        <v>398</v>
      </c>
      <c r="G57" s="26" t="n">
        <f aca="false">SUMIFS(Datos!$O$2:$O$997,Datos!$J$2:$J$997,F57,Datos!$D$2:$D$997,$B$2)</f>
        <v>3339.35</v>
      </c>
      <c r="H57" s="23" t="n">
        <f aca="false">G57+ROW()/1000000</f>
        <v>3339.350057</v>
      </c>
      <c r="I57" s="23" t="n">
        <f aca="false">RANK(H57,$H$43:$H$135,0)</f>
        <v>16</v>
      </c>
      <c r="J57" s="23"/>
      <c r="K57" s="23"/>
      <c r="L57" s="23"/>
      <c r="M57" s="23"/>
      <c r="N57" s="23"/>
    </row>
    <row r="58" customFormat="false" ht="15" hidden="false" customHeight="false" outlineLevel="0" collapsed="false">
      <c r="A58" s="23" t="s">
        <v>273</v>
      </c>
      <c r="B58" s="26" t="n">
        <f aca="false">SUMIFS(Datos!$O$2:$O$997,Datos!$G$2:$G$997,A58,Datos!$D$2:$D$997,$B$2)</f>
        <v>4400.86</v>
      </c>
      <c r="C58" s="23" t="n">
        <f aca="false">B58+ROW()/1000000</f>
        <v>4400.860058</v>
      </c>
      <c r="D58" s="23" t="n">
        <f aca="false">RANK(C58,$C$43:$C$137,0)</f>
        <v>11</v>
      </c>
      <c r="E58" s="23"/>
      <c r="F58" s="23" t="s">
        <v>30</v>
      </c>
      <c r="G58" s="26" t="n">
        <f aca="false">SUMIFS(Datos!$O$2:$O$997,Datos!$J$2:$J$997,F58,Datos!$D$2:$D$997,$B$2)</f>
        <v>840.16</v>
      </c>
      <c r="H58" s="23" t="n">
        <f aca="false">G58+ROW()/1000000</f>
        <v>840.160058</v>
      </c>
      <c r="I58" s="23" t="n">
        <f aca="false">RANK(H58,$H$43:$H$135,0)</f>
        <v>80</v>
      </c>
      <c r="J58" s="23"/>
      <c r="K58" s="23"/>
      <c r="L58" s="23"/>
      <c r="M58" s="23"/>
      <c r="N58" s="23"/>
    </row>
    <row r="59" customFormat="false" ht="15" hidden="false" customHeight="false" outlineLevel="0" collapsed="false">
      <c r="A59" s="23" t="s">
        <v>337</v>
      </c>
      <c r="B59" s="26" t="n">
        <f aca="false">SUMIFS(Datos!$O$2:$O$997,Datos!$G$2:$G$997,A59,Datos!$D$2:$D$997,$B$2)</f>
        <v>2925.56</v>
      </c>
      <c r="C59" s="23" t="n">
        <f aca="false">B59+ROW()/1000000</f>
        <v>2925.560059</v>
      </c>
      <c r="D59" s="23" t="n">
        <f aca="false">RANK(C59,$C$43:$C$137,0)</f>
        <v>23</v>
      </c>
      <c r="E59" s="23"/>
      <c r="F59" s="23" t="s">
        <v>340</v>
      </c>
      <c r="G59" s="26" t="n">
        <f aca="false">SUMIFS(Datos!$O$2:$O$997,Datos!$J$2:$J$997,F59,Datos!$D$2:$D$997,$B$2)</f>
        <v>2925.56</v>
      </c>
      <c r="H59" s="23" t="n">
        <f aca="false">G59+ROW()/1000000</f>
        <v>2925.560059</v>
      </c>
      <c r="I59" s="23" t="n">
        <f aca="false">RANK(H59,$H$43:$H$135,0)</f>
        <v>24</v>
      </c>
      <c r="J59" s="23"/>
      <c r="K59" s="23"/>
      <c r="L59" s="23"/>
      <c r="M59" s="23"/>
      <c r="N59" s="23"/>
    </row>
    <row r="60" customFormat="false" ht="15" hidden="false" customHeight="false" outlineLevel="0" collapsed="false">
      <c r="A60" s="23" t="s">
        <v>345</v>
      </c>
      <c r="B60" s="26" t="n">
        <f aca="false">SUMIFS(Datos!$O$2:$O$997,Datos!$G$2:$G$997,A60,Datos!$D$2:$D$997,$B$2)</f>
        <v>5614</v>
      </c>
      <c r="C60" s="23" t="n">
        <f aca="false">B60+ROW()/1000000</f>
        <v>5614.00006</v>
      </c>
      <c r="D60" s="23" t="n">
        <f aca="false">RANK(C60,$C$43:$C$137,0)</f>
        <v>7</v>
      </c>
      <c r="E60" s="23"/>
      <c r="F60" s="23" t="s">
        <v>37</v>
      </c>
      <c r="G60" s="26" t="n">
        <f aca="false">SUMIFS(Datos!$O$2:$O$997,Datos!$J$2:$J$997,F60,Datos!$D$2:$D$997,$B$2)</f>
        <v>1046.46</v>
      </c>
      <c r="H60" s="23" t="n">
        <f aca="false">G60+ROW()/1000000</f>
        <v>1046.46006</v>
      </c>
      <c r="I60" s="23" t="n">
        <f aca="false">RANK(H60,$H$43:$H$135,0)</f>
        <v>70</v>
      </c>
      <c r="J60" s="23"/>
      <c r="K60" s="23"/>
      <c r="L60" s="23"/>
      <c r="M60" s="23"/>
      <c r="N60" s="23"/>
    </row>
    <row r="61" customFormat="false" ht="15" hidden="false" customHeight="false" outlineLevel="0" collapsed="false">
      <c r="A61" s="23" t="s">
        <v>249</v>
      </c>
      <c r="B61" s="26" t="n">
        <f aca="false">SUMIFS(Datos!$O$2:$O$997,Datos!$G$2:$G$997,A61,Datos!$D$2:$D$997,$B$2)</f>
        <v>6693.35</v>
      </c>
      <c r="C61" s="23" t="n">
        <f aca="false">B61+ROW()/1000000</f>
        <v>6693.350061</v>
      </c>
      <c r="D61" s="23" t="n">
        <f aca="false">RANK(C61,$C$43:$C$137,0)</f>
        <v>5</v>
      </c>
      <c r="E61" s="23"/>
      <c r="F61" s="23" t="s">
        <v>41</v>
      </c>
      <c r="G61" s="26" t="n">
        <f aca="false">SUMIFS(Datos!$O$2:$O$997,Datos!$J$2:$J$997,F61,Datos!$D$2:$D$997,$B$2)</f>
        <v>1952.88</v>
      </c>
      <c r="H61" s="23" t="n">
        <f aca="false">G61+ROW()/1000000</f>
        <v>1952.880061</v>
      </c>
      <c r="I61" s="23" t="n">
        <f aca="false">RANK(H61,$H$43:$H$135,0)</f>
        <v>46</v>
      </c>
      <c r="J61" s="23"/>
      <c r="K61" s="23"/>
      <c r="L61" s="23"/>
      <c r="M61" s="23"/>
      <c r="N61" s="23"/>
    </row>
    <row r="62" customFormat="false" ht="15" hidden="false" customHeight="false" outlineLevel="0" collapsed="false">
      <c r="A62" s="23" t="s">
        <v>357</v>
      </c>
      <c r="B62" s="26" t="n">
        <f aca="false">SUMIFS(Datos!$O$2:$O$997,Datos!$G$2:$G$997,A62,Datos!$D$2:$D$997,$B$2)</f>
        <v>1827</v>
      </c>
      <c r="C62" s="23" t="n">
        <f aca="false">B62+ROW()/1000000</f>
        <v>1827.000062</v>
      </c>
      <c r="D62" s="23" t="n">
        <f aca="false">RANK(C62,$C$43:$C$137,0)</f>
        <v>49</v>
      </c>
      <c r="E62" s="23"/>
      <c r="F62" s="23" t="s">
        <v>248</v>
      </c>
      <c r="G62" s="26" t="n">
        <f aca="false">SUMIFS(Datos!$O$2:$O$997,Datos!$J$2:$J$997,F62,Datos!$D$2:$D$997,$B$2)</f>
        <v>2106.57</v>
      </c>
      <c r="H62" s="23" t="n">
        <f aca="false">G62+ROW()/1000000</f>
        <v>2106.570062</v>
      </c>
      <c r="I62" s="23" t="n">
        <f aca="false">RANK(H62,$H$43:$H$135,0)</f>
        <v>40</v>
      </c>
      <c r="J62" s="23"/>
      <c r="K62" s="23"/>
      <c r="L62" s="23"/>
      <c r="M62" s="23"/>
      <c r="N62" s="23"/>
    </row>
    <row r="63" customFormat="false" ht="15" hidden="false" customHeight="false" outlineLevel="0" collapsed="false">
      <c r="A63" s="23" t="s">
        <v>387</v>
      </c>
      <c r="B63" s="26" t="n">
        <f aca="false">SUMIFS(Datos!$O$2:$O$997,Datos!$G$2:$G$997,A63,Datos!$D$2:$D$997,$B$2)</f>
        <v>2917.11</v>
      </c>
      <c r="C63" s="23" t="n">
        <f aca="false">B63+ROW()/1000000</f>
        <v>2917.110063</v>
      </c>
      <c r="D63" s="23" t="n">
        <f aca="false">RANK(C63,$C$43:$C$137,0)</f>
        <v>24</v>
      </c>
      <c r="E63" s="23"/>
      <c r="F63" s="23" t="s">
        <v>210</v>
      </c>
      <c r="G63" s="26" t="n">
        <f aca="false">SUMIFS(Datos!$O$2:$O$997,Datos!$J$2:$J$997,F63,Datos!$D$2:$D$997,$B$2)</f>
        <v>972</v>
      </c>
      <c r="H63" s="23" t="n">
        <f aca="false">G63+ROW()/1000000</f>
        <v>972.000063</v>
      </c>
      <c r="I63" s="23" t="n">
        <f aca="false">RANK(H63,$H$43:$H$135,0)</f>
        <v>74</v>
      </c>
      <c r="J63" s="23"/>
      <c r="K63" s="23"/>
      <c r="L63" s="23"/>
      <c r="M63" s="23"/>
      <c r="N63" s="23"/>
    </row>
    <row r="64" customFormat="false" ht="15" hidden="false" customHeight="false" outlineLevel="0" collapsed="false">
      <c r="A64" s="23" t="s">
        <v>156</v>
      </c>
      <c r="B64" s="26" t="n">
        <f aca="false">SUMIFS(Datos!$O$2:$O$997,Datos!$G$2:$G$997,A64,Datos!$D$2:$D$997,$B$2)</f>
        <v>1770.08</v>
      </c>
      <c r="C64" s="23" t="n">
        <f aca="false">B64+ROW()/1000000</f>
        <v>1770.080064</v>
      </c>
      <c r="D64" s="23" t="n">
        <f aca="false">RANK(C64,$C$43:$C$137,0)</f>
        <v>50</v>
      </c>
      <c r="E64" s="23"/>
      <c r="F64" s="23" t="s">
        <v>332</v>
      </c>
      <c r="G64" s="26" t="n">
        <f aca="false">SUMIFS(Datos!$O$2:$O$997,Datos!$J$2:$J$997,F64,Datos!$D$2:$D$997,$B$2)</f>
        <v>763.6</v>
      </c>
      <c r="H64" s="23" t="n">
        <f aca="false">G64+ROW()/1000000</f>
        <v>763.600064</v>
      </c>
      <c r="I64" s="23" t="n">
        <f aca="false">RANK(H64,$H$43:$H$135,0)</f>
        <v>83</v>
      </c>
      <c r="J64" s="23"/>
      <c r="K64" s="23"/>
      <c r="L64" s="23"/>
      <c r="M64" s="23"/>
      <c r="N64" s="23"/>
    </row>
    <row r="65" customFormat="false" ht="15" hidden="false" customHeight="false" outlineLevel="0" collapsed="false">
      <c r="A65" s="23" t="s">
        <v>72</v>
      </c>
      <c r="B65" s="26" t="n">
        <f aca="false">SUMIFS(Datos!$O$2:$O$997,Datos!$G$2:$G$997,A65,Datos!$D$2:$D$997,$B$2)</f>
        <v>8404.23</v>
      </c>
      <c r="C65" s="23" t="n">
        <f aca="false">B65+ROW()/1000000</f>
        <v>8404.230065</v>
      </c>
      <c r="D65" s="23" t="n">
        <f aca="false">RANK(C65,$C$43:$C$137,0)</f>
        <v>3</v>
      </c>
      <c r="E65" s="23"/>
      <c r="F65" s="23" t="s">
        <v>52</v>
      </c>
      <c r="G65" s="26" t="n">
        <f aca="false">SUMIFS(Datos!$O$2:$O$997,Datos!$J$2:$J$997,F65,Datos!$D$2:$D$997,$B$2)</f>
        <v>3514.95</v>
      </c>
      <c r="H65" s="23" t="n">
        <f aca="false">G65+ROW()/1000000</f>
        <v>3514.950065</v>
      </c>
      <c r="I65" s="23" t="n">
        <f aca="false">RANK(H65,$H$43:$H$135,0)</f>
        <v>15</v>
      </c>
      <c r="J65" s="23"/>
      <c r="K65" s="23"/>
      <c r="L65" s="23"/>
      <c r="M65" s="23"/>
      <c r="N65" s="23"/>
    </row>
    <row r="66" customFormat="false" ht="15" hidden="false" customHeight="false" outlineLevel="0" collapsed="false">
      <c r="A66" s="23" t="s">
        <v>160</v>
      </c>
      <c r="B66" s="26" t="n">
        <f aca="false">SUMIFS(Datos!$O$2:$O$997,Datos!$G$2:$G$997,A66,Datos!$D$2:$D$997,$B$2)</f>
        <v>4501.44</v>
      </c>
      <c r="C66" s="23" t="n">
        <f aca="false">B66+ROW()/1000000</f>
        <v>4501.440066</v>
      </c>
      <c r="D66" s="23" t="n">
        <f aca="false">RANK(C66,$C$43:$C$137,0)</f>
        <v>10</v>
      </c>
      <c r="E66" s="23"/>
      <c r="F66" s="23" t="s">
        <v>280</v>
      </c>
      <c r="G66" s="26" t="n">
        <f aca="false">SUMIFS(Datos!$O$2:$O$997,Datos!$J$2:$J$997,F66,Datos!$D$2:$D$997,$B$2)</f>
        <v>539.34</v>
      </c>
      <c r="H66" s="23" t="n">
        <f aca="false">G66+ROW()/1000000</f>
        <v>539.340066</v>
      </c>
      <c r="I66" s="23" t="n">
        <f aca="false">RANK(H66,$H$43:$H$135,0)</f>
        <v>86</v>
      </c>
      <c r="J66" s="23"/>
      <c r="K66" s="23"/>
      <c r="L66" s="23"/>
      <c r="M66" s="23"/>
      <c r="N66" s="23"/>
    </row>
    <row r="67" customFormat="false" ht="15" hidden="false" customHeight="false" outlineLevel="0" collapsed="false">
      <c r="A67" s="23" t="s">
        <v>230</v>
      </c>
      <c r="B67" s="26" t="n">
        <f aca="false">SUMIFS(Datos!$O$2:$O$997,Datos!$G$2:$G$997,A67,Datos!$D$2:$D$997,$B$2)</f>
        <v>1311.64</v>
      </c>
      <c r="C67" s="23" t="n">
        <f aca="false">B67+ROW()/1000000</f>
        <v>1311.640067</v>
      </c>
      <c r="D67" s="23" t="n">
        <f aca="false">RANK(C67,$C$43:$C$137,0)</f>
        <v>63</v>
      </c>
      <c r="E67" s="23"/>
      <c r="F67" s="23" t="s">
        <v>47</v>
      </c>
      <c r="G67" s="26" t="n">
        <f aca="false">SUMIFS(Datos!$O$2:$O$997,Datos!$J$2:$J$997,F67,Datos!$D$2:$D$997,$B$2)</f>
        <v>2607.8</v>
      </c>
      <c r="H67" s="23" t="n">
        <f aca="false">G67+ROW()/1000000</f>
        <v>2607.800067</v>
      </c>
      <c r="I67" s="23" t="n">
        <f aca="false">RANK(H67,$H$43:$H$135,0)</f>
        <v>28</v>
      </c>
      <c r="J67" s="23"/>
      <c r="K67" s="23"/>
      <c r="L67" s="23"/>
      <c r="M67" s="23"/>
      <c r="N67" s="23"/>
    </row>
    <row r="68" customFormat="false" ht="15" hidden="false" customHeight="false" outlineLevel="0" collapsed="false">
      <c r="A68" s="23" t="s">
        <v>44</v>
      </c>
      <c r="B68" s="26" t="n">
        <f aca="false">SUMIFS(Datos!$O$2:$O$997,Datos!$G$2:$G$997,A68,Datos!$D$2:$D$997,$B$2)</f>
        <v>2607.8</v>
      </c>
      <c r="C68" s="23" t="n">
        <f aca="false">B68+ROW()/1000000</f>
        <v>2607.800068</v>
      </c>
      <c r="D68" s="23" t="n">
        <f aca="false">RANK(C68,$C$43:$C$137,0)</f>
        <v>26</v>
      </c>
      <c r="E68" s="23"/>
      <c r="F68" s="23" t="s">
        <v>56</v>
      </c>
      <c r="G68" s="26" t="n">
        <f aca="false">SUMIFS(Datos!$O$2:$O$997,Datos!$J$2:$J$997,F68,Datos!$D$2:$D$997,$B$2)</f>
        <v>2524.5</v>
      </c>
      <c r="H68" s="23" t="n">
        <f aca="false">G68+ROW()/1000000</f>
        <v>2524.500068</v>
      </c>
      <c r="I68" s="23" t="n">
        <f aca="false">RANK(H68,$H$43:$H$135,0)</f>
        <v>30</v>
      </c>
      <c r="J68" s="23"/>
      <c r="K68" s="23"/>
      <c r="L68" s="23"/>
      <c r="M68" s="23"/>
      <c r="N68" s="23"/>
    </row>
    <row r="69" customFormat="false" ht="15" hidden="false" customHeight="false" outlineLevel="0" collapsed="false">
      <c r="A69" s="23" t="s">
        <v>200</v>
      </c>
      <c r="B69" s="26" t="n">
        <f aca="false">SUMIFS(Datos!$O$2:$O$997,Datos!$G$2:$G$997,A69,Datos!$D$2:$D$997,$B$2)</f>
        <v>1466.64</v>
      </c>
      <c r="C69" s="23" t="n">
        <f aca="false">B69+ROW()/1000000</f>
        <v>1466.640069</v>
      </c>
      <c r="D69" s="23" t="n">
        <f aca="false">RANK(C69,$C$43:$C$137,0)</f>
        <v>58</v>
      </c>
      <c r="E69" s="23"/>
      <c r="F69" s="23" t="s">
        <v>276</v>
      </c>
      <c r="G69" s="26" t="n">
        <f aca="false">SUMIFS(Datos!$O$2:$O$997,Datos!$J$2:$J$997,F69,Datos!$D$2:$D$997,$B$2)</f>
        <v>4400.86</v>
      </c>
      <c r="H69" s="23" t="n">
        <f aca="false">G69+ROW()/1000000</f>
        <v>4400.860069</v>
      </c>
      <c r="I69" s="23" t="n">
        <f aca="false">RANK(H69,$H$43:$H$135,0)</f>
        <v>10</v>
      </c>
      <c r="J69" s="23"/>
      <c r="K69" s="23"/>
      <c r="L69" s="23"/>
      <c r="M69" s="23"/>
      <c r="N69" s="23"/>
    </row>
    <row r="70" customFormat="false" ht="15" hidden="false" customHeight="false" outlineLevel="0" collapsed="false">
      <c r="A70" s="23" t="s">
        <v>172</v>
      </c>
      <c r="B70" s="26" t="n">
        <f aca="false">SUMIFS(Datos!$O$2:$O$997,Datos!$G$2:$G$997,A70,Datos!$D$2:$D$997,$B$2)</f>
        <v>1259.5</v>
      </c>
      <c r="C70" s="23" t="n">
        <f aca="false">B70+ROW()/1000000</f>
        <v>1259.50007</v>
      </c>
      <c r="D70" s="23" t="n">
        <f aca="false">RANK(C70,$C$43:$C$137,0)</f>
        <v>67</v>
      </c>
      <c r="E70" s="23"/>
      <c r="F70" s="23" t="s">
        <v>301</v>
      </c>
      <c r="G70" s="26" t="n">
        <f aca="false">SUMIFS(Datos!$O$2:$O$997,Datos!$J$2:$J$997,F70,Datos!$D$2:$D$997,$B$2)</f>
        <v>11512.38</v>
      </c>
      <c r="H70" s="23" t="n">
        <f aca="false">G70+ROW()/1000000</f>
        <v>11512.38007</v>
      </c>
      <c r="I70" s="23" t="n">
        <f aca="false">RANK(H70,$H$43:$H$135,0)</f>
        <v>3</v>
      </c>
      <c r="J70" s="23"/>
      <c r="K70" s="23"/>
      <c r="L70" s="23"/>
      <c r="M70" s="23"/>
      <c r="N70" s="23"/>
    </row>
    <row r="71" customFormat="false" ht="15" hidden="false" customHeight="false" outlineLevel="0" collapsed="false">
      <c r="A71" s="23" t="s">
        <v>318</v>
      </c>
      <c r="B71" s="26" t="n">
        <f aca="false">SUMIFS(Datos!$O$2:$O$997,Datos!$G$2:$G$997,A71,Datos!$D$2:$D$997,$B$2)</f>
        <v>1234.1</v>
      </c>
      <c r="C71" s="23" t="n">
        <f aca="false">B71+ROW()/1000000</f>
        <v>1234.100071</v>
      </c>
      <c r="D71" s="23" t="n">
        <f aca="false">RANK(C71,$C$43:$C$137,0)</f>
        <v>68</v>
      </c>
      <c r="E71" s="23"/>
      <c r="F71" s="23" t="s">
        <v>60</v>
      </c>
      <c r="G71" s="26" t="n">
        <f aca="false">SUMIFS(Datos!$O$2:$O$997,Datos!$J$2:$J$997,F71,Datos!$D$2:$D$997,$B$2)</f>
        <v>1280.3</v>
      </c>
      <c r="H71" s="23" t="n">
        <f aca="false">G71+ROW()/1000000</f>
        <v>1280.300071</v>
      </c>
      <c r="I71" s="23" t="n">
        <f aca="false">RANK(H71,$H$43:$H$135,0)</f>
        <v>64</v>
      </c>
      <c r="J71" s="23"/>
      <c r="K71" s="23"/>
      <c r="L71" s="23"/>
      <c r="M71" s="23"/>
      <c r="N71" s="23"/>
    </row>
    <row r="72" customFormat="false" ht="15" hidden="false" customHeight="false" outlineLevel="0" collapsed="false">
      <c r="A72" s="23" t="s">
        <v>269</v>
      </c>
      <c r="B72" s="26" t="n">
        <f aca="false">SUMIFS(Datos!$O$2:$O$997,Datos!$G$2:$G$997,A72,Datos!$D$2:$D$997,$B$2)</f>
        <v>799.19</v>
      </c>
      <c r="C72" s="23" t="n">
        <f aca="false">B72+ROW()/1000000</f>
        <v>799.190072</v>
      </c>
      <c r="D72" s="23" t="n">
        <f aca="false">RANK(C72,$C$43:$C$137,0)</f>
        <v>84</v>
      </c>
      <c r="E72" s="23"/>
      <c r="F72" s="23" t="s">
        <v>336</v>
      </c>
      <c r="G72" s="26" t="n">
        <f aca="false">SUMIFS(Datos!$O$2:$O$997,Datos!$J$2:$J$997,F72,Datos!$D$2:$D$997,$B$2)</f>
        <v>13824</v>
      </c>
      <c r="H72" s="23" t="n">
        <f aca="false">G72+ROW()/1000000</f>
        <v>13824.000072</v>
      </c>
      <c r="I72" s="23" t="n">
        <f aca="false">RANK(H72,$H$43:$H$135,0)</f>
        <v>2</v>
      </c>
      <c r="J72" s="23"/>
      <c r="K72" s="23"/>
      <c r="L72" s="23"/>
      <c r="M72" s="23"/>
      <c r="N72" s="23"/>
    </row>
    <row r="73" customFormat="false" ht="15" hidden="false" customHeight="false" outlineLevel="0" collapsed="false">
      <c r="A73" s="23" t="s">
        <v>242</v>
      </c>
      <c r="B73" s="26" t="n">
        <f aca="false">SUMIFS(Datos!$O$2:$O$997,Datos!$G$2:$G$997,A73,Datos!$D$2:$D$997,$B$2)</f>
        <v>1920.66</v>
      </c>
      <c r="C73" s="23" t="n">
        <f aca="false">B73+ROW()/1000000</f>
        <v>1920.660073</v>
      </c>
      <c r="D73" s="23" t="n">
        <f aca="false">RANK(C73,$C$43:$C$137,0)</f>
        <v>45</v>
      </c>
      <c r="E73" s="23"/>
      <c r="F73" s="23" t="s">
        <v>66</v>
      </c>
      <c r="G73" s="26" t="n">
        <f aca="false">SUMIFS(Datos!$O$2:$O$997,Datos!$J$2:$J$997,F73,Datos!$D$2:$D$997,$B$2)</f>
        <v>3657</v>
      </c>
      <c r="H73" s="23" t="n">
        <f aca="false">G73+ROW()/1000000</f>
        <v>3657.000073</v>
      </c>
      <c r="I73" s="23" t="n">
        <f aca="false">RANK(H73,$H$43:$H$135,0)</f>
        <v>13</v>
      </c>
      <c r="J73" s="23"/>
      <c r="K73" s="23"/>
      <c r="L73" s="23"/>
      <c r="M73" s="23"/>
      <c r="N73" s="23"/>
    </row>
    <row r="74" customFormat="false" ht="15" hidden="false" customHeight="false" outlineLevel="0" collapsed="false">
      <c r="A74" s="23" t="s">
        <v>104</v>
      </c>
      <c r="B74" s="26" t="n">
        <f aca="false">SUMIFS(Datos!$O$2:$O$997,Datos!$G$2:$G$997,A74,Datos!$D$2:$D$997,$B$2)</f>
        <v>1940.2</v>
      </c>
      <c r="C74" s="23" t="n">
        <f aca="false">B74+ROW()/1000000</f>
        <v>1940.200074</v>
      </c>
      <c r="D74" s="23" t="n">
        <f aca="false">RANK(C74,$C$43:$C$137,0)</f>
        <v>43</v>
      </c>
      <c r="E74" s="23"/>
      <c r="F74" s="23" t="s">
        <v>382</v>
      </c>
      <c r="G74" s="26" t="n">
        <f aca="false">SUMIFS(Datos!$O$2:$O$997,Datos!$J$2:$J$997,F74,Datos!$D$2:$D$997,$B$2)</f>
        <v>1359.8</v>
      </c>
      <c r="H74" s="23" t="n">
        <f aca="false">G74+ROW()/1000000</f>
        <v>1359.800074</v>
      </c>
      <c r="I74" s="23" t="n">
        <f aca="false">RANK(H74,$H$43:$H$135,0)</f>
        <v>60</v>
      </c>
      <c r="J74" s="23"/>
      <c r="K74" s="23"/>
      <c r="L74" s="23"/>
      <c r="M74" s="23"/>
      <c r="N74" s="23"/>
    </row>
    <row r="75" customFormat="false" ht="15" hidden="false" customHeight="false" outlineLevel="0" collapsed="false">
      <c r="A75" s="23" t="s">
        <v>403</v>
      </c>
      <c r="B75" s="26" t="n">
        <f aca="false">SUMIFS(Datos!$O$2:$O$997,Datos!$G$2:$G$997,A75,Datos!$D$2:$D$997,$B$2)</f>
        <v>1267.76</v>
      </c>
      <c r="C75" s="23" t="n">
        <f aca="false">B75+ROW()/1000000</f>
        <v>1267.760075</v>
      </c>
      <c r="D75" s="23" t="n">
        <f aca="false">RANK(C75,$C$43:$C$137,0)</f>
        <v>66</v>
      </c>
      <c r="E75" s="23"/>
      <c r="F75" s="23" t="s">
        <v>70</v>
      </c>
      <c r="G75" s="26" t="n">
        <f aca="false">SUMIFS(Datos!$O$2:$O$997,Datos!$J$2:$J$997,F75,Datos!$D$2:$D$997,$B$2)</f>
        <v>1666.5</v>
      </c>
      <c r="H75" s="23" t="n">
        <f aca="false">G75+ROW()/1000000</f>
        <v>1666.500075</v>
      </c>
      <c r="I75" s="23" t="n">
        <f aca="false">RANK(H75,$H$43:$H$135,0)</f>
        <v>54</v>
      </c>
      <c r="J75" s="23"/>
      <c r="K75" s="23"/>
      <c r="L75" s="23"/>
      <c r="M75" s="23"/>
      <c r="N75" s="23"/>
    </row>
    <row r="76" customFormat="false" ht="15" hidden="false" customHeight="false" outlineLevel="0" collapsed="false">
      <c r="A76" s="23" t="s">
        <v>310</v>
      </c>
      <c r="B76" s="26" t="n">
        <f aca="false">SUMIFS(Datos!$O$2:$O$997,Datos!$G$2:$G$997,A76,Datos!$D$2:$D$997,$B$2)</f>
        <v>455.7</v>
      </c>
      <c r="C76" s="23" t="n">
        <f aca="false">B76+ROW()/1000000</f>
        <v>455.700076</v>
      </c>
      <c r="D76" s="23" t="n">
        <f aca="false">RANK(C76,$C$43:$C$137,0)</f>
        <v>91</v>
      </c>
      <c r="E76" s="23"/>
      <c r="F76" s="23" t="s">
        <v>75</v>
      </c>
      <c r="G76" s="26" t="n">
        <f aca="false">SUMIFS(Datos!$O$2:$O$997,Datos!$J$2:$J$997,F76,Datos!$D$2:$D$997,$B$2)</f>
        <v>3331.53</v>
      </c>
      <c r="H76" s="23" t="n">
        <f aca="false">G76+ROW()/1000000</f>
        <v>3331.530076</v>
      </c>
      <c r="I76" s="23" t="n">
        <f aca="false">RANK(H76,$H$43:$H$135,0)</f>
        <v>17</v>
      </c>
      <c r="J76" s="23"/>
      <c r="K76" s="23"/>
      <c r="L76" s="23"/>
      <c r="M76" s="23"/>
      <c r="N76" s="23"/>
    </row>
    <row r="77" customFormat="false" ht="15" hidden="false" customHeight="false" outlineLevel="0" collapsed="false">
      <c r="A77" s="23" t="s">
        <v>216</v>
      </c>
      <c r="B77" s="26" t="n">
        <f aca="false">SUMIFS(Datos!$O$2:$O$997,Datos!$G$2:$G$997,A77,Datos!$D$2:$D$997,$B$2)</f>
        <v>524.37</v>
      </c>
      <c r="C77" s="23" t="n">
        <f aca="false">B77+ROW()/1000000</f>
        <v>524.370077</v>
      </c>
      <c r="D77" s="23" t="n">
        <f aca="false">RANK(C77,$C$43:$C$137,0)</f>
        <v>89</v>
      </c>
      <c r="E77" s="23"/>
      <c r="F77" s="23" t="s">
        <v>80</v>
      </c>
      <c r="G77" s="26" t="n">
        <f aca="false">SUMIFS(Datos!$O$2:$O$997,Datos!$J$2:$J$997,F77,Datos!$D$2:$D$997,$B$2)</f>
        <v>2082.96</v>
      </c>
      <c r="H77" s="23" t="n">
        <f aca="false">G77+ROW()/1000000</f>
        <v>2082.960077</v>
      </c>
      <c r="I77" s="23" t="n">
        <f aca="false">RANK(H77,$H$43:$H$135,0)</f>
        <v>41</v>
      </c>
      <c r="J77" s="23"/>
      <c r="K77" s="23"/>
      <c r="L77" s="23"/>
      <c r="M77" s="23"/>
      <c r="N77" s="23"/>
    </row>
    <row r="78" customFormat="false" ht="15" hidden="false" customHeight="false" outlineLevel="0" collapsed="false">
      <c r="A78" s="23" t="s">
        <v>277</v>
      </c>
      <c r="B78" s="26" t="n">
        <f aca="false">SUMIFS(Datos!$O$2:$O$997,Datos!$G$2:$G$997,A78,Datos!$D$2:$D$997,$B$2)</f>
        <v>539.34</v>
      </c>
      <c r="C78" s="23" t="n">
        <f aca="false">B78+ROW()/1000000</f>
        <v>539.340078</v>
      </c>
      <c r="D78" s="23" t="n">
        <f aca="false">RANK(C78,$C$43:$C$137,0)</f>
        <v>88</v>
      </c>
      <c r="E78" s="23"/>
      <c r="F78" s="23" t="s">
        <v>356</v>
      </c>
      <c r="G78" s="26" t="n">
        <f aca="false">SUMIFS(Datos!$O$2:$O$997,Datos!$J$2:$J$997,F78,Datos!$D$2:$D$997,$B$2)</f>
        <v>5350.17</v>
      </c>
      <c r="H78" s="23" t="n">
        <f aca="false">G78+ROW()/1000000</f>
        <v>5350.170078</v>
      </c>
      <c r="I78" s="23" t="n">
        <f aca="false">RANK(H78,$H$43:$H$135,0)</f>
        <v>8</v>
      </c>
      <c r="J78" s="23"/>
      <c r="K78" s="23"/>
      <c r="L78" s="23"/>
      <c r="M78" s="23"/>
      <c r="N78" s="23"/>
    </row>
    <row r="79" customFormat="false" ht="15" hidden="false" customHeight="false" outlineLevel="0" collapsed="false">
      <c r="A79" s="23" t="s">
        <v>365</v>
      </c>
      <c r="B79" s="26" t="n">
        <f aca="false">SUMIFS(Datos!$O$2:$O$997,Datos!$G$2:$G$997,A79,Datos!$D$2:$D$997,$B$2)</f>
        <v>600.3</v>
      </c>
      <c r="C79" s="23" t="n">
        <f aca="false">B79+ROW()/1000000</f>
        <v>600.300079</v>
      </c>
      <c r="D79" s="23" t="n">
        <f aca="false">RANK(C79,$C$43:$C$137,0)</f>
        <v>87</v>
      </c>
      <c r="E79" s="23"/>
      <c r="F79" s="23" t="s">
        <v>364</v>
      </c>
      <c r="G79" s="26" t="n">
        <f aca="false">SUMIFS(Datos!$O$2:$O$997,Datos!$J$2:$J$997,F79,Datos!$D$2:$D$997,$B$2)</f>
        <v>319.41</v>
      </c>
      <c r="H79" s="23" t="n">
        <f aca="false">G79+ROW()/1000000</f>
        <v>319.410079</v>
      </c>
      <c r="I79" s="23" t="n">
        <f aca="false">RANK(H79,$H$43:$H$135,0)</f>
        <v>91</v>
      </c>
      <c r="J79" s="23"/>
      <c r="K79" s="23"/>
      <c r="L79" s="23"/>
      <c r="M79" s="23"/>
      <c r="N79" s="23"/>
    </row>
    <row r="80" customFormat="false" ht="15" hidden="false" customHeight="false" outlineLevel="0" collapsed="false">
      <c r="A80" s="23" t="s">
        <v>361</v>
      </c>
      <c r="B80" s="26" t="n">
        <f aca="false">SUMIFS(Datos!$O$2:$O$997,Datos!$G$2:$G$997,A80,Datos!$D$2:$D$997,$B$2)</f>
        <v>319.41</v>
      </c>
      <c r="C80" s="23" t="n">
        <f aca="false">B80+ROW()/1000000</f>
        <v>319.41008</v>
      </c>
      <c r="D80" s="23" t="n">
        <f aca="false">RANK(C80,$C$43:$C$137,0)</f>
        <v>93</v>
      </c>
      <c r="E80" s="23"/>
      <c r="F80" s="23" t="s">
        <v>390</v>
      </c>
      <c r="G80" s="26" t="n">
        <f aca="false">SUMIFS(Datos!$O$2:$O$997,Datos!$J$2:$J$997,F80,Datos!$D$2:$D$997,$B$2)</f>
        <v>2917.11</v>
      </c>
      <c r="H80" s="23" t="n">
        <f aca="false">G80+ROW()/1000000</f>
        <v>2917.11008</v>
      </c>
      <c r="I80" s="23" t="n">
        <f aca="false">RANK(H80,$H$43:$H$135,0)</f>
        <v>25</v>
      </c>
      <c r="J80" s="23"/>
      <c r="K80" s="23"/>
      <c r="L80" s="23"/>
      <c r="M80" s="23"/>
      <c r="N80" s="23"/>
    </row>
    <row r="81" customFormat="false" ht="15" hidden="false" customHeight="false" outlineLevel="0" collapsed="false">
      <c r="A81" s="23" t="s">
        <v>407</v>
      </c>
      <c r="B81" s="26" t="n">
        <f aca="false">SUMIFS(Datos!$O$2:$O$997,Datos!$G$2:$G$997,A81,Datos!$D$2:$D$997,$B$2)</f>
        <v>97.5</v>
      </c>
      <c r="C81" s="23" t="n">
        <f aca="false">B81+ROW()/1000000</f>
        <v>97.500081</v>
      </c>
      <c r="D81" s="23" t="n">
        <f aca="false">RANK(C81,$C$43:$C$137,0)</f>
        <v>95</v>
      </c>
      <c r="E81" s="23"/>
      <c r="F81" s="23" t="s">
        <v>294</v>
      </c>
      <c r="G81" s="26" t="n">
        <f aca="false">SUMIFS(Datos!$O$2:$O$997,Datos!$J$2:$J$997,F81,Datos!$D$2:$D$997,$B$2)</f>
        <v>1347.84</v>
      </c>
      <c r="H81" s="23" t="n">
        <f aca="false">G81+ROW()/1000000</f>
        <v>1347.840081</v>
      </c>
      <c r="I81" s="23" t="n">
        <f aca="false">RANK(H81,$H$43:$H$135,0)</f>
        <v>61</v>
      </c>
      <c r="J81" s="23"/>
      <c r="K81" s="23"/>
      <c r="L81" s="23"/>
      <c r="M81" s="23"/>
      <c r="N81" s="23"/>
    </row>
    <row r="82" customFormat="false" ht="15" hidden="false" customHeight="false" outlineLevel="0" collapsed="false">
      <c r="A82" s="23" t="s">
        <v>112</v>
      </c>
      <c r="B82" s="26" t="n">
        <f aca="false">SUMIFS(Datos!$O$2:$O$997,Datos!$G$2:$G$997,A82,Datos!$D$2:$D$997,$B$2)</f>
        <v>1686.42</v>
      </c>
      <c r="C82" s="23" t="n">
        <f aca="false">B82+ROW()/1000000</f>
        <v>1686.420082</v>
      </c>
      <c r="D82" s="23" t="n">
        <f aca="false">RANK(C82,$C$43:$C$137,0)</f>
        <v>52</v>
      </c>
      <c r="E82" s="23"/>
      <c r="F82" s="23" t="s">
        <v>233</v>
      </c>
      <c r="G82" s="26" t="n">
        <f aca="false">SUMIFS(Datos!$O$2:$O$997,Datos!$J$2:$J$997,F82,Datos!$D$2:$D$997,$B$2)</f>
        <v>1311.64</v>
      </c>
      <c r="H82" s="23" t="n">
        <f aca="false">G82+ROW()/1000000</f>
        <v>1311.640082</v>
      </c>
      <c r="I82" s="23" t="n">
        <f aca="false">RANK(H82,$H$43:$H$135,0)</f>
        <v>62</v>
      </c>
      <c r="J82" s="23"/>
      <c r="K82" s="23"/>
      <c r="L82" s="23"/>
      <c r="M82" s="23"/>
      <c r="N82" s="23"/>
    </row>
    <row r="83" customFormat="false" ht="15" hidden="false" customHeight="false" outlineLevel="0" collapsed="false">
      <c r="A83" s="23" t="s">
        <v>99</v>
      </c>
      <c r="B83" s="26" t="n">
        <f aca="false">SUMIFS(Datos!$O$2:$O$997,Datos!$G$2:$G$997,A83,Datos!$D$2:$D$997,$B$2)</f>
        <v>2174.64</v>
      </c>
      <c r="C83" s="23" t="n">
        <f aca="false">B83+ROW()/1000000</f>
        <v>2174.640083</v>
      </c>
      <c r="D83" s="23" t="n">
        <f aca="false">RANK(C83,$C$43:$C$137,0)</f>
        <v>35</v>
      </c>
      <c r="E83" s="23"/>
      <c r="F83" s="23" t="s">
        <v>229</v>
      </c>
      <c r="G83" s="26" t="n">
        <f aca="false">SUMIFS(Datos!$O$2:$O$997,Datos!$J$2:$J$997,F83,Datos!$D$2:$D$997,$B$2)</f>
        <v>802.95</v>
      </c>
      <c r="H83" s="23" t="n">
        <f aca="false">G83+ROW()/1000000</f>
        <v>802.950083</v>
      </c>
      <c r="I83" s="23" t="n">
        <f aca="false">RANK(H83,$H$43:$H$135,0)</f>
        <v>81</v>
      </c>
      <c r="J83" s="23"/>
      <c r="K83" s="23"/>
      <c r="L83" s="23"/>
      <c r="M83" s="23"/>
      <c r="N83" s="23"/>
    </row>
    <row r="84" customFormat="false" ht="15" hidden="false" customHeight="false" outlineLevel="0" collapsed="false">
      <c r="A84" s="23" t="s">
        <v>291</v>
      </c>
      <c r="B84" s="26" t="n">
        <f aca="false">SUMIFS(Datos!$O$2:$O$997,Datos!$G$2:$G$997,A84,Datos!$D$2:$D$997,$B$2)</f>
        <v>1347.84</v>
      </c>
      <c r="C84" s="23" t="n">
        <f aca="false">B84+ROW()/1000000</f>
        <v>1347.840084</v>
      </c>
      <c r="D84" s="23" t="n">
        <f aca="false">RANK(C84,$C$43:$C$137,0)</f>
        <v>62</v>
      </c>
      <c r="E84" s="23"/>
      <c r="F84" s="23" t="s">
        <v>86</v>
      </c>
      <c r="G84" s="26" t="n">
        <f aca="false">SUMIFS(Datos!$O$2:$O$997,Datos!$J$2:$J$997,F84,Datos!$D$2:$D$997,$B$2)</f>
        <v>912</v>
      </c>
      <c r="H84" s="23" t="n">
        <f aca="false">G84+ROW()/1000000</f>
        <v>912.000084</v>
      </c>
      <c r="I84" s="23" t="n">
        <f aca="false">RANK(H84,$H$43:$H$135,0)</f>
        <v>76</v>
      </c>
      <c r="J84" s="23"/>
      <c r="K84" s="23"/>
      <c r="L84" s="23"/>
      <c r="M84" s="23"/>
      <c r="N84" s="23"/>
    </row>
    <row r="85" customFormat="false" ht="15" hidden="false" customHeight="false" outlineLevel="0" collapsed="false">
      <c r="A85" s="23" t="s">
        <v>380</v>
      </c>
      <c r="B85" s="26" t="n">
        <f aca="false">SUMIFS(Datos!$O$2:$O$997,Datos!$G$2:$G$997,A85,Datos!$D$2:$D$997,$B$2)</f>
        <v>1359.8</v>
      </c>
      <c r="C85" s="23" t="n">
        <f aca="false">B85+ROW()/1000000</f>
        <v>1359.800085</v>
      </c>
      <c r="D85" s="23" t="n">
        <f aca="false">RANK(C85,$C$43:$C$137,0)</f>
        <v>61</v>
      </c>
      <c r="E85" s="23"/>
      <c r="F85" s="23" t="s">
        <v>386</v>
      </c>
      <c r="G85" s="26" t="n">
        <f aca="false">SUMIFS(Datos!$O$2:$O$997,Datos!$J$2:$J$997,F85,Datos!$D$2:$D$997,$B$2)</f>
        <v>522.6</v>
      </c>
      <c r="H85" s="23" t="n">
        <f aca="false">G85+ROW()/1000000</f>
        <v>522.600085</v>
      </c>
      <c r="I85" s="23" t="n">
        <f aca="false">RANK(H85,$H$43:$H$135,0)</f>
        <v>88</v>
      </c>
      <c r="J85" s="23"/>
      <c r="K85" s="23"/>
      <c r="L85" s="23"/>
      <c r="M85" s="23"/>
      <c r="N85" s="23"/>
    </row>
    <row r="86" customFormat="false" ht="15" hidden="false" customHeight="false" outlineLevel="0" collapsed="false">
      <c r="A86" s="23" t="s">
        <v>184</v>
      </c>
      <c r="B86" s="26" t="n">
        <f aca="false">SUMIFS(Datos!$O$2:$O$997,Datos!$G$2:$G$997,A86,Datos!$D$2:$D$997,$B$2)</f>
        <v>276.75</v>
      </c>
      <c r="C86" s="23" t="n">
        <f aca="false">B86+ROW()/1000000</f>
        <v>276.750086</v>
      </c>
      <c r="D86" s="23" t="n">
        <f aca="false">RANK(C86,$C$43:$C$137,0)</f>
        <v>94</v>
      </c>
      <c r="E86" s="23"/>
      <c r="F86" s="23" t="s">
        <v>252</v>
      </c>
      <c r="G86" s="26" t="n">
        <f aca="false">SUMIFS(Datos!$O$2:$O$997,Datos!$J$2:$J$997,F86,Datos!$D$2:$D$997,$B$2)</f>
        <v>6693.35</v>
      </c>
      <c r="H86" s="23" t="n">
        <f aca="false">G86+ROW()/1000000</f>
        <v>6693.350086</v>
      </c>
      <c r="I86" s="23" t="n">
        <f aca="false">RANK(H86,$H$43:$H$135,0)</f>
        <v>5</v>
      </c>
      <c r="J86" s="23"/>
      <c r="K86" s="23"/>
      <c r="L86" s="23"/>
      <c r="M86" s="23"/>
      <c r="N86" s="23"/>
    </row>
    <row r="87" customFormat="false" ht="15" hidden="false" customHeight="false" outlineLevel="0" collapsed="false">
      <c r="A87" s="23" t="s">
        <v>164</v>
      </c>
      <c r="B87" s="26" t="n">
        <f aca="false">SUMIFS(Datos!$O$2:$O$997,Datos!$G$2:$G$997,A87,Datos!$D$2:$D$997,$B$2)</f>
        <v>1712.55</v>
      </c>
      <c r="C87" s="23" t="n">
        <f aca="false">B87+ROW()/1000000</f>
        <v>1712.550087</v>
      </c>
      <c r="D87" s="23" t="n">
        <f aca="false">RANK(C87,$C$43:$C$137,0)</f>
        <v>51</v>
      </c>
      <c r="E87" s="23"/>
      <c r="F87" s="23" t="s">
        <v>263</v>
      </c>
      <c r="G87" s="26" t="n">
        <f aca="false">SUMIFS(Datos!$O$2:$O$997,Datos!$J$2:$J$997,F87,Datos!$D$2:$D$997,$B$2)</f>
        <v>3282.5</v>
      </c>
      <c r="H87" s="23" t="n">
        <f aca="false">G87+ROW()/1000000</f>
        <v>3282.500087</v>
      </c>
      <c r="I87" s="23" t="n">
        <f aca="false">RANK(H87,$H$43:$H$135,0)</f>
        <v>18</v>
      </c>
      <c r="J87" s="23"/>
      <c r="K87" s="23"/>
      <c r="L87" s="23"/>
      <c r="M87" s="23"/>
      <c r="N87" s="23"/>
    </row>
    <row r="88" customFormat="false" ht="15" hidden="false" customHeight="false" outlineLevel="0" collapsed="false">
      <c r="A88" s="23" t="s">
        <v>192</v>
      </c>
      <c r="B88" s="26" t="n">
        <f aca="false">SUMIFS(Datos!$O$2:$O$997,Datos!$G$2:$G$997,A88,Datos!$D$2:$D$997,$B$2)</f>
        <v>2189.94</v>
      </c>
      <c r="C88" s="23" t="n">
        <f aca="false">B88+ROW()/1000000</f>
        <v>2189.940088</v>
      </c>
      <c r="D88" s="23" t="n">
        <f aca="false">RANK(C88,$C$43:$C$137,0)</f>
        <v>33</v>
      </c>
      <c r="E88" s="23"/>
      <c r="F88" s="23" t="s">
        <v>259</v>
      </c>
      <c r="G88" s="26" t="n">
        <f aca="false">SUMIFS(Datos!$O$2:$O$997,Datos!$J$2:$J$997,F88,Datos!$D$2:$D$997,$B$2)</f>
        <v>3529.8</v>
      </c>
      <c r="H88" s="23" t="n">
        <f aca="false">G88+ROW()/1000000</f>
        <v>3529.800088</v>
      </c>
      <c r="I88" s="23" t="n">
        <f aca="false">RANK(H88,$H$43:$H$135,0)</f>
        <v>14</v>
      </c>
      <c r="J88" s="23"/>
      <c r="K88" s="23"/>
      <c r="L88" s="23"/>
      <c r="M88" s="23"/>
      <c r="N88" s="23"/>
    </row>
    <row r="89" customFormat="false" ht="15" hidden="false" customHeight="false" outlineLevel="0" collapsed="false">
      <c r="A89" s="23" t="s">
        <v>168</v>
      </c>
      <c r="B89" s="26" t="n">
        <f aca="false">SUMIFS(Datos!$O$2:$O$997,Datos!$G$2:$G$997,A89,Datos!$D$2:$D$997,$B$2)</f>
        <v>1908.36</v>
      </c>
      <c r="C89" s="23" t="n">
        <f aca="false">B89+ROW()/1000000</f>
        <v>1908.360089</v>
      </c>
      <c r="D89" s="23" t="n">
        <f aca="false">RANK(C89,$C$43:$C$137,0)</f>
        <v>46</v>
      </c>
      <c r="E89" s="23"/>
      <c r="F89" s="23" t="s">
        <v>255</v>
      </c>
      <c r="G89" s="26" t="n">
        <f aca="false">SUMIFS(Datos!$O$2:$O$997,Datos!$J$2:$J$997,F89,Datos!$D$2:$D$997,$B$2)</f>
        <v>4330.1</v>
      </c>
      <c r="H89" s="23" t="n">
        <f aca="false">G89+ROW()/1000000</f>
        <v>4330.100089</v>
      </c>
      <c r="I89" s="23" t="n">
        <f aca="false">RANK(H89,$H$43:$H$135,0)</f>
        <v>11</v>
      </c>
      <c r="J89" s="23"/>
      <c r="K89" s="23"/>
      <c r="L89" s="23"/>
      <c r="M89" s="23"/>
      <c r="N89" s="23"/>
    </row>
    <row r="90" customFormat="false" ht="15" hidden="false" customHeight="false" outlineLevel="0" collapsed="false">
      <c r="A90" s="23" t="s">
        <v>121</v>
      </c>
      <c r="B90" s="26" t="n">
        <f aca="false">SUMIFS(Datos!$O$2:$O$997,Datos!$G$2:$G$997,A90,Datos!$D$2:$D$997,$B$2)</f>
        <v>1162</v>
      </c>
      <c r="C90" s="23" t="n">
        <f aca="false">B90+ROW()/1000000</f>
        <v>1162.00009</v>
      </c>
      <c r="D90" s="23" t="n">
        <f aca="false">RANK(C90,$C$43:$C$137,0)</f>
        <v>72</v>
      </c>
      <c r="E90" s="23"/>
      <c r="F90" s="23" t="s">
        <v>167</v>
      </c>
      <c r="G90" s="26" t="n">
        <f aca="false">SUMIFS(Datos!$O$2:$O$997,Datos!$J$2:$J$997,F90,Datos!$D$2:$D$997,$B$2)</f>
        <v>1712.55</v>
      </c>
      <c r="H90" s="23" t="n">
        <f aca="false">G90+ROW()/1000000</f>
        <v>1712.55009</v>
      </c>
      <c r="I90" s="23" t="n">
        <f aca="false">RANK(H90,$H$43:$H$135,0)</f>
        <v>53</v>
      </c>
      <c r="J90" s="23"/>
      <c r="K90" s="23"/>
      <c r="L90" s="23"/>
      <c r="M90" s="23"/>
      <c r="N90" s="23"/>
    </row>
    <row r="91" customFormat="false" ht="15" hidden="false" customHeight="false" outlineLevel="0" collapsed="false">
      <c r="A91" s="23" t="s">
        <v>264</v>
      </c>
      <c r="B91" s="26" t="n">
        <f aca="false">SUMIFS(Datos!$O$2:$O$997,Datos!$G$2:$G$997,A91,Datos!$D$2:$D$997,$B$2)</f>
        <v>1185.6</v>
      </c>
      <c r="C91" s="23" t="n">
        <f aca="false">B91+ROW()/1000000</f>
        <v>1185.600091</v>
      </c>
      <c r="D91" s="23" t="n">
        <f aca="false">RANK(C91,$C$43:$C$137,0)</f>
        <v>71</v>
      </c>
      <c r="E91" s="23"/>
      <c r="F91" s="23" t="s">
        <v>171</v>
      </c>
      <c r="G91" s="26" t="n">
        <f aca="false">SUMIFS(Datos!$O$2:$O$997,Datos!$J$2:$J$997,F91,Datos!$D$2:$D$997,$B$2)</f>
        <v>1908.36</v>
      </c>
      <c r="H91" s="23" t="n">
        <f aca="false">G91+ROW()/1000000</f>
        <v>1908.360091</v>
      </c>
      <c r="I91" s="23" t="n">
        <f aca="false">RANK(H91,$H$43:$H$135,0)</f>
        <v>50</v>
      </c>
      <c r="J91" s="23"/>
      <c r="K91" s="23"/>
      <c r="L91" s="23"/>
      <c r="M91" s="23"/>
      <c r="N91" s="23"/>
    </row>
    <row r="92" customFormat="false" ht="15" hidden="false" customHeight="false" outlineLevel="0" collapsed="false">
      <c r="A92" s="23" t="s">
        <v>130</v>
      </c>
      <c r="B92" s="26" t="n">
        <f aca="false">SUMIFS(Datos!$O$2:$O$997,Datos!$G$2:$G$997,A92,Datos!$D$2:$D$997,$B$2)</f>
        <v>1188.2</v>
      </c>
      <c r="C92" s="23" t="n">
        <f aca="false">B92+ROW()/1000000</f>
        <v>1188.200092</v>
      </c>
      <c r="D92" s="23" t="n">
        <f aca="false">RANK(C92,$C$43:$C$137,0)</f>
        <v>70</v>
      </c>
      <c r="E92" s="23"/>
      <c r="F92" s="23" t="s">
        <v>376</v>
      </c>
      <c r="G92" s="26" t="n">
        <f aca="false">SUMIFS(Datos!$O$2:$O$997,Datos!$J$2:$J$997,F92,Datos!$D$2:$D$997,$B$2)</f>
        <v>2117</v>
      </c>
      <c r="H92" s="23" t="n">
        <f aca="false">G92+ROW()/1000000</f>
        <v>2117.000092</v>
      </c>
      <c r="I92" s="23" t="n">
        <f aca="false">RANK(H92,$H$43:$H$135,0)</f>
        <v>39</v>
      </c>
      <c r="J92" s="23"/>
      <c r="K92" s="23"/>
      <c r="L92" s="23"/>
      <c r="M92" s="23"/>
      <c r="N92" s="23"/>
    </row>
    <row r="93" customFormat="false" ht="15" hidden="false" customHeight="false" outlineLevel="0" collapsed="false">
      <c r="A93" s="23" t="s">
        <v>246</v>
      </c>
      <c r="B93" s="26" t="n">
        <f aca="false">SUMIFS(Datos!$O$2:$O$997,Datos!$G$2:$G$997,A93,Datos!$D$2:$D$997,$B$2)</f>
        <v>2106.57</v>
      </c>
      <c r="C93" s="23" t="n">
        <f aca="false">B93+ROW()/1000000</f>
        <v>2106.570093</v>
      </c>
      <c r="D93" s="23" t="n">
        <f aca="false">RANK(C93,$C$43:$C$137,0)</f>
        <v>37</v>
      </c>
      <c r="E93" s="23"/>
      <c r="F93" s="23" t="s">
        <v>214</v>
      </c>
      <c r="G93" s="26" t="n">
        <f aca="false">SUMIFS(Datos!$O$2:$O$997,Datos!$J$2:$J$997,F93,Datos!$D$2:$D$997,$B$2)</f>
        <v>2245</v>
      </c>
      <c r="H93" s="23" t="n">
        <f aca="false">G93+ROW()/1000000</f>
        <v>2245.000093</v>
      </c>
      <c r="I93" s="23" t="n">
        <f aca="false">RANK(H93,$H$43:$H$135,0)</f>
        <v>35</v>
      </c>
      <c r="J93" s="23"/>
      <c r="K93" s="23"/>
      <c r="L93" s="23"/>
      <c r="M93" s="23"/>
      <c r="N93" s="23"/>
    </row>
    <row r="94" customFormat="false" ht="15" hidden="false" customHeight="false" outlineLevel="0" collapsed="false">
      <c r="A94" s="23" t="s">
        <v>391</v>
      </c>
      <c r="B94" s="26" t="n">
        <f aca="false">SUMIFS(Datos!$O$2:$O$997,Datos!$G$2:$G$997,A94,Datos!$D$2:$D$997,$B$2)</f>
        <v>432.39</v>
      </c>
      <c r="C94" s="23" t="n">
        <f aca="false">B94+ROW()/1000000</f>
        <v>432.390094</v>
      </c>
      <c r="D94" s="23" t="n">
        <f aca="false">RANK(C94,$C$43:$C$137,0)</f>
        <v>92</v>
      </c>
      <c r="E94" s="23"/>
      <c r="F94" s="23" t="s">
        <v>163</v>
      </c>
      <c r="G94" s="26" t="n">
        <f aca="false">SUMIFS(Datos!$O$2:$O$997,Datos!$J$2:$J$997,F94,Datos!$D$2:$D$997,$B$2)</f>
        <v>4501.44</v>
      </c>
      <c r="H94" s="23" t="n">
        <f aca="false">G94+ROW()/1000000</f>
        <v>4501.440094</v>
      </c>
      <c r="I94" s="23" t="n">
        <f aca="false">RANK(H94,$H$43:$H$135,0)</f>
        <v>9</v>
      </c>
      <c r="J94" s="23"/>
      <c r="K94" s="23"/>
      <c r="L94" s="23"/>
      <c r="M94" s="23"/>
      <c r="N94" s="23"/>
    </row>
    <row r="95" customFormat="false" ht="15" hidden="false" customHeight="false" outlineLevel="0" collapsed="false">
      <c r="A95" s="23" t="s">
        <v>226</v>
      </c>
      <c r="B95" s="26" t="n">
        <f aca="false">SUMIFS(Datos!$O$2:$O$997,Datos!$G$2:$G$997,A95,Datos!$D$2:$D$997,$B$2)</f>
        <v>802.95</v>
      </c>
      <c r="C95" s="23" t="n">
        <f aca="false">B95+ROW()/1000000</f>
        <v>802.950095</v>
      </c>
      <c r="D95" s="23" t="n">
        <f aca="false">RANK(C95,$C$43:$C$137,0)</f>
        <v>83</v>
      </c>
      <c r="E95" s="23"/>
      <c r="F95" s="23" t="s">
        <v>282</v>
      </c>
      <c r="G95" s="26" t="n">
        <f aca="false">SUMIFS(Datos!$O$2:$O$997,Datos!$J$2:$J$997,F95,Datos!$D$2:$D$997,$B$2)</f>
        <v>761.95</v>
      </c>
      <c r="H95" s="23" t="n">
        <f aca="false">G95+ROW()/1000000</f>
        <v>761.950095</v>
      </c>
      <c r="I95" s="23" t="n">
        <f aca="false">RANK(H95,$H$43:$H$135,0)</f>
        <v>84</v>
      </c>
      <c r="J95" s="23"/>
      <c r="K95" s="23"/>
      <c r="L95" s="23"/>
      <c r="M95" s="23"/>
      <c r="N95" s="23"/>
    </row>
    <row r="96" customFormat="false" ht="15" hidden="false" customHeight="false" outlineLevel="0" collapsed="false">
      <c r="A96" s="23" t="s">
        <v>95</v>
      </c>
      <c r="B96" s="26" t="n">
        <f aca="false">SUMIFS(Datos!$O$2:$O$997,Datos!$G$2:$G$997,A96,Datos!$D$2:$D$997,$B$2)</f>
        <v>1017.55</v>
      </c>
      <c r="C96" s="23" t="n">
        <f aca="false">B96+ROW()/1000000</f>
        <v>1017.550096</v>
      </c>
      <c r="D96" s="23" t="n">
        <f aca="false">RANK(C96,$C$43:$C$137,0)</f>
        <v>75</v>
      </c>
      <c r="E96" s="23"/>
      <c r="F96" s="23" t="s">
        <v>148</v>
      </c>
      <c r="G96" s="26" t="n">
        <f aca="false">SUMIFS(Datos!$O$2:$O$997,Datos!$J$2:$J$997,F96,Datos!$D$2:$D$997,$B$2)</f>
        <v>3253.35</v>
      </c>
      <c r="H96" s="23" t="n">
        <f aca="false">G96+ROW()/1000000</f>
        <v>3253.350096</v>
      </c>
      <c r="I96" s="23" t="n">
        <f aca="false">RANK(H96,$H$43:$H$135,0)</f>
        <v>19</v>
      </c>
      <c r="J96" s="23"/>
      <c r="K96" s="23"/>
      <c r="L96" s="23"/>
      <c r="M96" s="23"/>
      <c r="N96" s="23"/>
    </row>
    <row r="97" customFormat="false" ht="15" hidden="false" customHeight="false" outlineLevel="0" collapsed="false">
      <c r="A97" s="23" t="s">
        <v>137</v>
      </c>
      <c r="B97" s="26" t="n">
        <f aca="false">SUMIFS(Datos!$O$2:$O$997,Datos!$G$2:$G$997,A97,Datos!$D$2:$D$997,$B$2)</f>
        <v>880.64</v>
      </c>
      <c r="C97" s="23" t="n">
        <f aca="false">B97+ROW()/1000000</f>
        <v>880.640097</v>
      </c>
      <c r="D97" s="23" t="n">
        <f aca="false">RANK(C97,$C$43:$C$137,0)</f>
        <v>80</v>
      </c>
      <c r="E97" s="23"/>
      <c r="F97" s="23" t="s">
        <v>90</v>
      </c>
      <c r="G97" s="26" t="n">
        <f aca="false">SUMIFS(Datos!$O$2:$O$997,Datos!$J$2:$J$997,F97,Datos!$D$2:$D$997,$B$2)</f>
        <v>4319.26</v>
      </c>
      <c r="H97" s="23" t="n">
        <f aca="false">G97+ROW()/1000000</f>
        <v>4319.260097</v>
      </c>
      <c r="I97" s="23" t="n">
        <f aca="false">RANK(H97,$H$43:$H$135,0)</f>
        <v>12</v>
      </c>
      <c r="J97" s="23"/>
      <c r="K97" s="23"/>
      <c r="L97" s="23"/>
      <c r="M97" s="23"/>
      <c r="N97" s="23"/>
    </row>
    <row r="98" customFormat="false" ht="15" hidden="false" customHeight="false" outlineLevel="0" collapsed="false">
      <c r="A98" s="23" t="s">
        <v>215</v>
      </c>
      <c r="B98" s="26" t="n">
        <f aca="false">SUMIFS(Datos!$O$2:$O$997,Datos!$G$2:$G$997,A98,Datos!$D$2:$D$997,$B$2)</f>
        <v>1361.84</v>
      </c>
      <c r="C98" s="23" t="n">
        <f aca="false">B98+ROW()/1000000</f>
        <v>1361.840098</v>
      </c>
      <c r="D98" s="23" t="n">
        <f aca="false">RANK(C98,$C$43:$C$137,0)</f>
        <v>60</v>
      </c>
      <c r="E98" s="23"/>
      <c r="F98" s="23" t="s">
        <v>245</v>
      </c>
      <c r="G98" s="26" t="n">
        <f aca="false">SUMIFS(Datos!$O$2:$O$997,Datos!$J$2:$J$997,F98,Datos!$D$2:$D$997,$B$2)</f>
        <v>1920.66</v>
      </c>
      <c r="H98" s="23" t="n">
        <f aca="false">G98+ROW()/1000000</f>
        <v>1920.660098</v>
      </c>
      <c r="I98" s="23" t="n">
        <f aca="false">RANK(H98,$H$43:$H$135,0)</f>
        <v>49</v>
      </c>
      <c r="J98" s="23"/>
      <c r="K98" s="23"/>
      <c r="L98" s="23"/>
      <c r="M98" s="23"/>
      <c r="N98" s="23"/>
    </row>
    <row r="99" customFormat="false" ht="15" hidden="false" customHeight="false" outlineLevel="0" collapsed="false">
      <c r="A99" s="23" t="s">
        <v>176</v>
      </c>
      <c r="B99" s="26" t="n">
        <f aca="false">SUMIFS(Datos!$O$2:$O$997,Datos!$G$2:$G$997,A99,Datos!$D$2:$D$997,$B$2)</f>
        <v>2026.72</v>
      </c>
      <c r="C99" s="23" t="n">
        <f aca="false">B99+ROW()/1000000</f>
        <v>2026.720099</v>
      </c>
      <c r="D99" s="23" t="n">
        <f aca="false">RANK(C99,$C$43:$C$137,0)</f>
        <v>40</v>
      </c>
      <c r="E99" s="23"/>
      <c r="F99" s="23" t="s">
        <v>206</v>
      </c>
      <c r="G99" s="26" t="n">
        <f aca="false">SUMIFS(Datos!$O$2:$O$997,Datos!$J$2:$J$997,F99,Datos!$D$2:$D$997,$B$2)</f>
        <v>2412.64</v>
      </c>
      <c r="H99" s="23" t="n">
        <f aca="false">G99+ROW()/1000000</f>
        <v>2412.640099</v>
      </c>
      <c r="I99" s="23" t="n">
        <f aca="false">RANK(H99,$H$43:$H$135,0)</f>
        <v>33</v>
      </c>
      <c r="J99" s="23"/>
      <c r="K99" s="23"/>
      <c r="L99" s="23"/>
      <c r="M99" s="23"/>
      <c r="N99" s="23"/>
    </row>
    <row r="100" customFormat="false" ht="15" hidden="false" customHeight="false" outlineLevel="0" collapsed="false">
      <c r="A100" s="23" t="s">
        <v>133</v>
      </c>
      <c r="B100" s="26" t="n">
        <f aca="false">SUMIFS(Datos!$O$2:$O$997,Datos!$G$2:$G$997,A100,Datos!$D$2:$D$997,$B$2)</f>
        <v>2571.4</v>
      </c>
      <c r="C100" s="23" t="n">
        <f aca="false">B100+ROW()/1000000</f>
        <v>2571.4001</v>
      </c>
      <c r="D100" s="23" t="n">
        <f aca="false">RANK(C100,$C$43:$C$137,0)</f>
        <v>27</v>
      </c>
      <c r="E100" s="23"/>
      <c r="F100" s="23" t="s">
        <v>284</v>
      </c>
      <c r="G100" s="26" t="n">
        <f aca="false">SUMIFS(Datos!$O$2:$O$997,Datos!$J$2:$J$997,F100,Datos!$D$2:$D$997,$B$2)</f>
        <v>2004.71</v>
      </c>
      <c r="H100" s="23" t="n">
        <f aca="false">G100+ROW()/1000000</f>
        <v>2004.7101</v>
      </c>
      <c r="I100" s="23" t="n">
        <f aca="false">RANK(H100,$H$43:$H$135,0)</f>
        <v>44</v>
      </c>
      <c r="J100" s="23"/>
      <c r="K100" s="23"/>
      <c r="L100" s="23"/>
      <c r="M100" s="23"/>
      <c r="N100" s="23"/>
    </row>
    <row r="101" customFormat="false" ht="15" hidden="false" customHeight="false" outlineLevel="0" collapsed="false">
      <c r="A101" s="23" t="s">
        <v>322</v>
      </c>
      <c r="B101" s="26" t="n">
        <f aca="false">SUMIFS(Datos!$O$2:$O$997,Datos!$G$2:$G$997,A101,Datos!$D$2:$D$997,$B$2)</f>
        <v>2362.85</v>
      </c>
      <c r="C101" s="23" t="n">
        <f aca="false">B101+ROW()/1000000</f>
        <v>2362.850101</v>
      </c>
      <c r="D101" s="23" t="n">
        <f aca="false">RANK(C101,$C$43:$C$137,0)</f>
        <v>31</v>
      </c>
      <c r="E101" s="23"/>
      <c r="F101" s="23" t="s">
        <v>94</v>
      </c>
      <c r="G101" s="26" t="n">
        <f aca="false">SUMIFS(Datos!$O$2:$O$997,Datos!$J$2:$J$997,F101,Datos!$D$2:$D$997,$B$2)</f>
        <v>848.72</v>
      </c>
      <c r="H101" s="23" t="n">
        <f aca="false">G101+ROW()/1000000</f>
        <v>848.720101</v>
      </c>
      <c r="I101" s="23" t="n">
        <f aca="false">RANK(H101,$H$43:$H$135,0)</f>
        <v>79</v>
      </c>
      <c r="J101" s="23"/>
      <c r="K101" s="23"/>
      <c r="L101" s="23"/>
      <c r="M101" s="23"/>
      <c r="N101" s="23"/>
    </row>
    <row r="102" customFormat="false" ht="15" hidden="false" customHeight="false" outlineLevel="0" collapsed="false">
      <c r="A102" s="23" t="s">
        <v>188</v>
      </c>
      <c r="B102" s="26" t="n">
        <f aca="false">SUMIFS(Datos!$O$2:$O$997,Datos!$G$2:$G$997,A102,Datos!$D$2:$D$997,$B$2)</f>
        <v>7032.45</v>
      </c>
      <c r="C102" s="23" t="n">
        <f aca="false">B102+ROW()/1000000</f>
        <v>7032.450102</v>
      </c>
      <c r="D102" s="23" t="n">
        <f aca="false">RANK(C102,$C$43:$C$137,0)</f>
        <v>4</v>
      </c>
      <c r="E102" s="23"/>
      <c r="F102" s="23" t="s">
        <v>268</v>
      </c>
      <c r="G102" s="26" t="n">
        <f aca="false">SUMIFS(Datos!$O$2:$O$997,Datos!$J$2:$J$997,F102,Datos!$D$2:$D$997,$B$2)</f>
        <v>1028.6</v>
      </c>
      <c r="H102" s="23" t="n">
        <f aca="false">G102+ROW()/1000000</f>
        <v>1028.600102</v>
      </c>
      <c r="I102" s="23" t="n">
        <f aca="false">RANK(H102,$H$43:$H$135,0)</f>
        <v>71</v>
      </c>
      <c r="J102" s="23"/>
      <c r="K102" s="23"/>
      <c r="L102" s="23"/>
      <c r="M102" s="23"/>
      <c r="N102" s="23"/>
    </row>
    <row r="103" customFormat="false" ht="15" hidden="false" customHeight="false" outlineLevel="0" collapsed="false">
      <c r="A103" s="23" t="s">
        <v>203</v>
      </c>
      <c r="B103" s="26" t="n">
        <f aca="false">SUMIFS(Datos!$O$2:$O$997,Datos!$G$2:$G$997,A103,Datos!$D$2:$D$997,$B$2)</f>
        <v>2412.64</v>
      </c>
      <c r="C103" s="23" t="n">
        <f aca="false">B103+ROW()/1000000</f>
        <v>2412.640103</v>
      </c>
      <c r="D103" s="23" t="n">
        <f aca="false">RANK(C103,$C$43:$C$137,0)</f>
        <v>30</v>
      </c>
      <c r="E103" s="23"/>
      <c r="F103" s="23" t="s">
        <v>97</v>
      </c>
      <c r="G103" s="26" t="n">
        <f aca="false">SUMIFS(Datos!$O$2:$O$997,Datos!$J$2:$J$997,F103,Datos!$D$2:$D$997,$B$2)</f>
        <v>1017.55</v>
      </c>
      <c r="H103" s="23" t="n">
        <f aca="false">G103+ROW()/1000000</f>
        <v>1017.550103</v>
      </c>
      <c r="I103" s="23" t="n">
        <f aca="false">RANK(H103,$H$43:$H$135,0)</f>
        <v>72</v>
      </c>
      <c r="J103" s="23"/>
      <c r="K103" s="23"/>
      <c r="L103" s="23"/>
      <c r="M103" s="23"/>
      <c r="N103" s="23"/>
    </row>
    <row r="104" customFormat="false" ht="15" hidden="false" customHeight="false" outlineLevel="0" collapsed="false">
      <c r="A104" s="23" t="s">
        <v>180</v>
      </c>
      <c r="B104" s="26" t="n">
        <f aca="false">SUMIFS(Datos!$O$2:$O$997,Datos!$G$2:$G$997,A104,Datos!$D$2:$D$997,$B$2)</f>
        <v>953.54</v>
      </c>
      <c r="C104" s="23" t="n">
        <f aca="false">B104+ROW()/1000000</f>
        <v>953.540104</v>
      </c>
      <c r="D104" s="23" t="n">
        <f aca="false">RANK(C104,$C$43:$C$137,0)</f>
        <v>78</v>
      </c>
      <c r="E104" s="23"/>
      <c r="F104" s="23" t="s">
        <v>102</v>
      </c>
      <c r="G104" s="26" t="n">
        <f aca="false">SUMIFS(Datos!$O$2:$O$997,Datos!$J$2:$J$997,F104,Datos!$D$2:$D$997,$B$2)</f>
        <v>2174.64</v>
      </c>
      <c r="H104" s="23" t="n">
        <f aca="false">G104+ROW()/1000000</f>
        <v>2174.640104</v>
      </c>
      <c r="I104" s="23" t="n">
        <f aca="false">RANK(H104,$H$43:$H$135,0)</f>
        <v>38</v>
      </c>
      <c r="J104" s="23"/>
      <c r="K104" s="23"/>
      <c r="L104" s="23"/>
      <c r="M104" s="23"/>
      <c r="N104" s="23"/>
    </row>
    <row r="105" customFormat="false" ht="15" hidden="false" customHeight="false" outlineLevel="0" collapsed="false">
      <c r="A105" s="23" t="s">
        <v>314</v>
      </c>
      <c r="B105" s="26" t="n">
        <f aca="false">SUMIFS(Datos!$O$2:$O$997,Datos!$G$2:$G$997,A105,Datos!$D$2:$D$997,$B$2)</f>
        <v>1233.05</v>
      </c>
      <c r="C105" s="23" t="n">
        <f aca="false">B105+ROW()/1000000</f>
        <v>1233.050105</v>
      </c>
      <c r="D105" s="23" t="n">
        <f aca="false">RANK(C105,$C$43:$C$137,0)</f>
        <v>69</v>
      </c>
      <c r="E105" s="23"/>
      <c r="F105" s="23" t="s">
        <v>107</v>
      </c>
      <c r="G105" s="26" t="n">
        <f aca="false">SUMIFS(Datos!$O$2:$O$997,Datos!$J$2:$J$997,F105,Datos!$D$2:$D$997,$B$2)</f>
        <v>1940.2</v>
      </c>
      <c r="H105" s="23" t="n">
        <f aca="false">G105+ROW()/1000000</f>
        <v>1940.200105</v>
      </c>
      <c r="I105" s="23" t="n">
        <f aca="false">RANK(H105,$H$43:$H$135,0)</f>
        <v>47</v>
      </c>
      <c r="J105" s="23"/>
      <c r="K105" s="23"/>
      <c r="L105" s="23"/>
      <c r="M105" s="23"/>
      <c r="N105" s="23"/>
    </row>
    <row r="106" customFormat="false" ht="15" hidden="false" customHeight="false" outlineLevel="0" collapsed="false">
      <c r="A106" s="23" t="s">
        <v>141</v>
      </c>
      <c r="B106" s="26" t="n">
        <f aca="false">SUMIFS(Datos!$O$2:$O$997,Datos!$G$2:$G$997,A106,Datos!$D$2:$D$997,$B$2)</f>
        <v>2894.88</v>
      </c>
      <c r="C106" s="23" t="n">
        <f aca="false">B106+ROW()/1000000</f>
        <v>2894.880106</v>
      </c>
      <c r="D106" s="23" t="n">
        <f aca="false">RANK(C106,$C$43:$C$137,0)</f>
        <v>25</v>
      </c>
      <c r="E106" s="23"/>
      <c r="F106" s="23" t="s">
        <v>183</v>
      </c>
      <c r="G106" s="26" t="n">
        <f aca="false">SUMIFS(Datos!$O$2:$O$997,Datos!$J$2:$J$997,F106,Datos!$D$2:$D$997,$B$2)</f>
        <v>953.54</v>
      </c>
      <c r="H106" s="23" t="n">
        <f aca="false">G106+ROW()/1000000</f>
        <v>953.540106</v>
      </c>
      <c r="I106" s="23" t="n">
        <f aca="false">RANK(H106,$H$43:$H$135,0)</f>
        <v>75</v>
      </c>
      <c r="J106" s="23"/>
      <c r="K106" s="23"/>
      <c r="L106" s="23"/>
      <c r="M106" s="23"/>
      <c r="N106" s="23"/>
    </row>
    <row r="107" customFormat="false" ht="15" hidden="false" customHeight="false" outlineLevel="0" collapsed="false">
      <c r="A107" s="23" t="s">
        <v>253</v>
      </c>
      <c r="B107" s="26" t="n">
        <f aca="false">SUMIFS(Datos!$O$2:$O$997,Datos!$G$2:$G$997,A107,Datos!$D$2:$D$997,$B$2)</f>
        <v>4330.1</v>
      </c>
      <c r="C107" s="23" t="n">
        <f aca="false">B107+ROW()/1000000</f>
        <v>4330.100107</v>
      </c>
      <c r="D107" s="23" t="n">
        <f aca="false">RANK(C107,$C$43:$C$137,0)</f>
        <v>12</v>
      </c>
      <c r="E107" s="23"/>
      <c r="F107" s="23" t="s">
        <v>272</v>
      </c>
      <c r="G107" s="26" t="n">
        <f aca="false">SUMIFS(Datos!$O$2:$O$997,Datos!$J$2:$J$997,F107,Datos!$D$2:$D$997,$B$2)</f>
        <v>799.19</v>
      </c>
      <c r="H107" s="23" t="n">
        <f aca="false">G107+ROW()/1000000</f>
        <v>799.190107</v>
      </c>
      <c r="I107" s="23" t="n">
        <f aca="false">RANK(H107,$H$43:$H$135,0)</f>
        <v>82</v>
      </c>
      <c r="J107" s="23"/>
      <c r="K107" s="23"/>
      <c r="L107" s="23"/>
      <c r="M107" s="23"/>
      <c r="N107" s="23"/>
    </row>
    <row r="108" customFormat="false" ht="15" hidden="false" customHeight="false" outlineLevel="0" collapsed="false">
      <c r="A108" s="23" t="s">
        <v>220</v>
      </c>
      <c r="B108" s="26" t="n">
        <f aca="false">SUMIFS(Datos!$O$2:$O$997,Datos!$G$2:$G$997,A108,Datos!$D$2:$D$997,$B$2)</f>
        <v>3793.93</v>
      </c>
      <c r="C108" s="23" t="n">
        <f aca="false">B108+ROW()/1000000</f>
        <v>3793.930108</v>
      </c>
      <c r="D108" s="23" t="n">
        <f aca="false">RANK(C108,$C$43:$C$137,0)</f>
        <v>14</v>
      </c>
      <c r="E108" s="23"/>
      <c r="F108" s="23" t="s">
        <v>406</v>
      </c>
      <c r="G108" s="26" t="n">
        <f aca="false">SUMIFS(Datos!$O$2:$O$997,Datos!$J$2:$J$997,F108,Datos!$D$2:$D$997,$B$2)</f>
        <v>1267.76</v>
      </c>
      <c r="H108" s="23" t="n">
        <f aca="false">G108+ROW()/1000000</f>
        <v>1267.760108</v>
      </c>
      <c r="I108" s="23" t="n">
        <f aca="false">RANK(H108,$H$43:$H$135,0)</f>
        <v>65</v>
      </c>
      <c r="J108" s="23"/>
      <c r="K108" s="23"/>
      <c r="L108" s="23"/>
      <c r="M108" s="23"/>
      <c r="N108" s="23"/>
    </row>
    <row r="109" customFormat="false" ht="15" hidden="false" customHeight="false" outlineLevel="0" collapsed="false">
      <c r="A109" s="23" t="s">
        <v>67</v>
      </c>
      <c r="B109" s="26" t="n">
        <f aca="false">SUMIFS(Datos!$O$2:$O$997,Datos!$G$2:$G$997,A109,Datos!$D$2:$D$997,$B$2)</f>
        <v>1666.5</v>
      </c>
      <c r="C109" s="23" t="n">
        <f aca="false">B109+ROW()/1000000</f>
        <v>1666.500109</v>
      </c>
      <c r="D109" s="23" t="n">
        <f aca="false">RANK(C109,$C$43:$C$137,0)</f>
        <v>53</v>
      </c>
      <c r="E109" s="23"/>
      <c r="F109" s="23" t="s">
        <v>298</v>
      </c>
      <c r="G109" s="26" t="n">
        <f aca="false">SUMIFS(Datos!$O$2:$O$997,Datos!$J$2:$J$997,F109,Datos!$D$2:$D$997,$B$2)</f>
        <v>868</v>
      </c>
      <c r="H109" s="23" t="n">
        <f aca="false">G109+ROW()/1000000</f>
        <v>868.000109</v>
      </c>
      <c r="I109" s="23" t="n">
        <f aca="false">RANK(H109,$H$43:$H$135,0)</f>
        <v>78</v>
      </c>
      <c r="J109" s="23"/>
      <c r="K109" s="23"/>
      <c r="L109" s="23"/>
      <c r="M109" s="23"/>
      <c r="N109" s="23"/>
    </row>
    <row r="110" customFormat="false" ht="15" hidden="false" customHeight="false" outlineLevel="0" collapsed="false">
      <c r="A110" s="23" t="s">
        <v>207</v>
      </c>
      <c r="B110" s="26" t="n">
        <f aca="false">SUMIFS(Datos!$O$2:$O$997,Datos!$G$2:$G$997,A110,Datos!$D$2:$D$997,$B$2)</f>
        <v>972</v>
      </c>
      <c r="C110" s="23" t="n">
        <f aca="false">B110+ROW()/1000000</f>
        <v>972.00011</v>
      </c>
      <c r="D110" s="23" t="n">
        <f aca="false">RANK(C110,$C$43:$C$137,0)</f>
        <v>76</v>
      </c>
      <c r="E110" s="23"/>
      <c r="F110" s="23" t="s">
        <v>111</v>
      </c>
      <c r="G110" s="26" t="n">
        <f aca="false">SUMIFS(Datos!$O$2:$O$997,Datos!$J$2:$J$997,F110,Datos!$D$2:$D$997,$B$2)</f>
        <v>1501.5</v>
      </c>
      <c r="H110" s="23" t="n">
        <f aca="false">G110+ROW()/1000000</f>
        <v>1501.50011</v>
      </c>
      <c r="I110" s="23" t="n">
        <f aca="false">RANK(H110,$H$43:$H$135,0)</f>
        <v>57</v>
      </c>
      <c r="J110" s="23"/>
      <c r="K110" s="23"/>
      <c r="L110" s="23"/>
      <c r="M110" s="23"/>
      <c r="N110" s="23"/>
    </row>
    <row r="111" customFormat="false" ht="15" hidden="false" customHeight="false" outlineLevel="0" collapsed="false">
      <c r="A111" s="23" t="s">
        <v>341</v>
      </c>
      <c r="B111" s="26" t="n">
        <f aca="false">SUMIFS(Datos!$O$2:$O$997,Datos!$G$2:$G$997,A111,Datos!$D$2:$D$997,$B$2)</f>
        <v>14683.04</v>
      </c>
      <c r="C111" s="23" t="n">
        <f aca="false">B111+ROW()/1000000</f>
        <v>14683.040111</v>
      </c>
      <c r="D111" s="23" t="n">
        <f aca="false">RANK(C111,$C$43:$C$137,0)</f>
        <v>1</v>
      </c>
      <c r="E111" s="23"/>
      <c r="F111" s="23" t="s">
        <v>394</v>
      </c>
      <c r="G111" s="26" t="n">
        <f aca="false">SUMIFS(Datos!$O$2:$O$997,Datos!$J$2:$J$997,F111,Datos!$D$2:$D$997,$B$2)</f>
        <v>432.39</v>
      </c>
      <c r="H111" s="23" t="n">
        <f aca="false">G111+ROW()/1000000</f>
        <v>432.390111</v>
      </c>
      <c r="I111" s="23" t="n">
        <f aca="false">RANK(H111,$H$43:$H$135,0)</f>
        <v>90</v>
      </c>
      <c r="J111" s="23"/>
      <c r="K111" s="23"/>
      <c r="L111" s="23"/>
      <c r="M111" s="23"/>
      <c r="N111" s="23"/>
    </row>
    <row r="112" customFormat="false" ht="15" hidden="false" customHeight="false" outlineLevel="0" collapsed="false">
      <c r="A112" s="23" t="s">
        <v>349</v>
      </c>
      <c r="B112" s="26" t="n">
        <f aca="false">SUMIFS(Datos!$O$2:$O$997,Datos!$G$2:$G$997,A112,Datos!$D$2:$D$997,$B$2)</f>
        <v>2457.84</v>
      </c>
      <c r="C112" s="23" t="n">
        <f aca="false">B112+ROW()/1000000</f>
        <v>2457.840112</v>
      </c>
      <c r="D112" s="23" t="n">
        <f aca="false">RANK(C112,$C$43:$C$137,0)</f>
        <v>29</v>
      </c>
      <c r="E112" s="23"/>
      <c r="F112" s="23" t="s">
        <v>187</v>
      </c>
      <c r="G112" s="26" t="n">
        <f aca="false">SUMIFS(Datos!$O$2:$O$997,Datos!$J$2:$J$997,F112,Datos!$D$2:$D$997,$B$2)</f>
        <v>276.75</v>
      </c>
      <c r="H112" s="23" t="n">
        <f aca="false">G112+ROW()/1000000</f>
        <v>276.750112</v>
      </c>
      <c r="I112" s="23" t="n">
        <f aca="false">RANK(H112,$H$43:$H$135,0)</f>
        <v>92</v>
      </c>
      <c r="J112" s="23"/>
      <c r="K112" s="23"/>
      <c r="L112" s="23"/>
      <c r="M112" s="23"/>
      <c r="N112" s="23"/>
    </row>
    <row r="113" customFormat="false" ht="15" hidden="false" customHeight="false" outlineLevel="0" collapsed="false">
      <c r="A113" s="23" t="s">
        <v>369</v>
      </c>
      <c r="B113" s="26" t="n">
        <f aca="false">SUMIFS(Datos!$O$2:$O$997,Datos!$G$2:$G$997,A113,Datos!$D$2:$D$997,$B$2)</f>
        <v>1940.12</v>
      </c>
      <c r="C113" s="23" t="n">
        <f aca="false">B113+ROW()/1000000</f>
        <v>1940.120113</v>
      </c>
      <c r="D113" s="23" t="n">
        <f aca="false">RANK(C113,$C$43:$C$137,0)</f>
        <v>44</v>
      </c>
      <c r="E113" s="23"/>
      <c r="F113" s="23" t="s">
        <v>241</v>
      </c>
      <c r="G113" s="26" t="n">
        <f aca="false">SUMIFS(Datos!$O$2:$O$997,Datos!$J$2:$J$997,F113,Datos!$D$2:$D$997,$B$2)</f>
        <v>3158.75</v>
      </c>
      <c r="H113" s="23" t="n">
        <f aca="false">G113+ROW()/1000000</f>
        <v>3158.750113</v>
      </c>
      <c r="I113" s="23" t="n">
        <f aca="false">RANK(H113,$H$43:$H$135,0)</f>
        <v>23</v>
      </c>
      <c r="J113" s="23"/>
      <c r="K113" s="23"/>
      <c r="L113" s="23"/>
      <c r="M113" s="23"/>
      <c r="N113" s="23"/>
    </row>
    <row r="114" customFormat="false" ht="15" hidden="false" customHeight="false" outlineLevel="0" collapsed="false">
      <c r="A114" s="23" t="s">
        <v>329</v>
      </c>
      <c r="B114" s="26" t="n">
        <f aca="false">SUMIFS(Datos!$O$2:$O$997,Datos!$G$2:$G$997,A114,Datos!$D$2:$D$997,$B$2)</f>
        <v>763.6</v>
      </c>
      <c r="C114" s="23" t="n">
        <f aca="false">B114+ROW()/1000000</f>
        <v>763.600114</v>
      </c>
      <c r="D114" s="23" t="n">
        <f aca="false">RANK(C114,$C$43:$C$137,0)</f>
        <v>86</v>
      </c>
      <c r="E114" s="23"/>
      <c r="F114" s="23" t="s">
        <v>317</v>
      </c>
      <c r="G114" s="26" t="n">
        <f aca="false">SUMIFS(Datos!$O$2:$O$997,Datos!$J$2:$J$997,F114,Datos!$D$2:$D$997,$B$2)</f>
        <v>1233.05</v>
      </c>
      <c r="H114" s="23" t="n">
        <f aca="false">G114+ROW()/1000000</f>
        <v>1233.050114</v>
      </c>
      <c r="I114" s="23" t="n">
        <f aca="false">RANK(H114,$H$43:$H$135,0)</f>
        <v>68</v>
      </c>
      <c r="J114" s="23"/>
      <c r="K114" s="23"/>
      <c r="L114" s="23"/>
      <c r="M114" s="23"/>
      <c r="N114" s="23"/>
    </row>
    <row r="115" customFormat="false" ht="15" hidden="false" customHeight="false" outlineLevel="0" collapsed="false">
      <c r="A115" s="23" t="s">
        <v>395</v>
      </c>
      <c r="B115" s="26" t="n">
        <f aca="false">SUMIFS(Datos!$O$2:$O$997,Datos!$G$2:$G$997,A115,Datos!$D$2:$D$997,$B$2)</f>
        <v>3339.35</v>
      </c>
      <c r="C115" s="23" t="n">
        <f aca="false">B115+ROW()/1000000</f>
        <v>3339.350115</v>
      </c>
      <c r="D115" s="23" t="n">
        <f aca="false">RANK(C115,$C$43:$C$137,0)</f>
        <v>18</v>
      </c>
      <c r="E115" s="23"/>
      <c r="F115" s="23" t="s">
        <v>290</v>
      </c>
      <c r="G115" s="26" t="n">
        <f aca="false">SUMIFS(Datos!$O$2:$O$997,Datos!$J$2:$J$997,F115,Datos!$D$2:$D$997,$B$2)</f>
        <v>1013.52</v>
      </c>
      <c r="H115" s="23" t="n">
        <f aca="false">G115+ROW()/1000000</f>
        <v>1013.520115</v>
      </c>
      <c r="I115" s="23" t="n">
        <f aca="false">RANK(H115,$H$43:$H$135,0)</f>
        <v>73</v>
      </c>
      <c r="J115" s="23"/>
      <c r="K115" s="23"/>
      <c r="L115" s="23"/>
      <c r="M115" s="23"/>
      <c r="N115" s="23"/>
    </row>
    <row r="116" customFormat="false" ht="15" hidden="false" customHeight="false" outlineLevel="0" collapsed="false">
      <c r="A116" s="23" t="s">
        <v>304</v>
      </c>
      <c r="B116" s="26" t="n">
        <f aca="false">SUMIFS(Datos!$O$2:$O$997,Datos!$G$2:$G$997,A116,Datos!$D$2:$D$997,$B$2)</f>
        <v>1623.24</v>
      </c>
      <c r="C116" s="23" t="n">
        <f aca="false">B116+ROW()/1000000</f>
        <v>1623.240116</v>
      </c>
      <c r="D116" s="23" t="n">
        <f aca="false">RANK(C116,$C$43:$C$137,0)</f>
        <v>54</v>
      </c>
      <c r="E116" s="23"/>
      <c r="F116" s="23" t="s">
        <v>115</v>
      </c>
      <c r="G116" s="26" t="n">
        <f aca="false">SUMIFS(Datos!$O$2:$O$997,Datos!$J$2:$J$997,F116,Datos!$D$2:$D$997,$B$2)</f>
        <v>2645.76</v>
      </c>
      <c r="H116" s="23" t="n">
        <f aca="false">G116+ROW()/1000000</f>
        <v>2645.760116</v>
      </c>
      <c r="I116" s="23" t="n">
        <f aca="false">RANK(H116,$H$43:$H$135,0)</f>
        <v>27</v>
      </c>
      <c r="J116" s="23"/>
      <c r="K116" s="23"/>
      <c r="L116" s="23"/>
      <c r="M116" s="23"/>
      <c r="N116" s="23"/>
    </row>
    <row r="117" customFormat="false" ht="15" hidden="false" customHeight="false" outlineLevel="0" collapsed="false">
      <c r="A117" s="23" t="s">
        <v>211</v>
      </c>
      <c r="B117" s="26" t="n">
        <f aca="false">SUMIFS(Datos!$O$2:$O$997,Datos!$G$2:$G$997,A117,Datos!$D$2:$D$997,$B$2)</f>
        <v>2245</v>
      </c>
      <c r="C117" s="23" t="n">
        <f aca="false">B117+ROW()/1000000</f>
        <v>2245.000117</v>
      </c>
      <c r="D117" s="23" t="n">
        <f aca="false">RANK(C117,$C$43:$C$137,0)</f>
        <v>32</v>
      </c>
      <c r="E117" s="23"/>
      <c r="F117" s="23" t="s">
        <v>124</v>
      </c>
      <c r="G117" s="26" t="n">
        <f aca="false">SUMIFS(Datos!$O$2:$O$997,Datos!$J$2:$J$997,F117,Datos!$D$2:$D$997,$B$2)</f>
        <v>1162</v>
      </c>
      <c r="H117" s="23" t="n">
        <f aca="false">G117+ROW()/1000000</f>
        <v>1162.000117</v>
      </c>
      <c r="I117" s="23" t="n">
        <f aca="false">RANK(H117,$H$43:$H$135,0)</f>
        <v>69</v>
      </c>
      <c r="J117" s="23"/>
      <c r="K117" s="23"/>
      <c r="L117" s="23"/>
      <c r="M117" s="23"/>
      <c r="N117" s="23"/>
    </row>
    <row r="118" customFormat="false" ht="15" hidden="false" customHeight="false" outlineLevel="0" collapsed="false">
      <c r="A118" s="23" t="s">
        <v>53</v>
      </c>
      <c r="B118" s="26" t="n">
        <f aca="false">SUMIFS(Datos!$O$2:$O$997,Datos!$G$2:$G$997,A118,Datos!$D$2:$D$997,$B$2)</f>
        <v>2524.5</v>
      </c>
      <c r="C118" s="23" t="n">
        <f aca="false">B118+ROW()/1000000</f>
        <v>2524.500118</v>
      </c>
      <c r="D118" s="23" t="n">
        <f aca="false">RANK(C118,$C$43:$C$137,0)</f>
        <v>28</v>
      </c>
      <c r="E118" s="23"/>
      <c r="F118" s="23" t="s">
        <v>219</v>
      </c>
      <c r="G118" s="26" t="n">
        <f aca="false">SUMIFS(Datos!$O$2:$O$997,Datos!$J$2:$J$997,F118,Datos!$D$2:$D$997,$B$2)</f>
        <v>524.37</v>
      </c>
      <c r="H118" s="23" t="n">
        <f aca="false">G118+ROW()/1000000</f>
        <v>524.370118</v>
      </c>
      <c r="I118" s="23" t="n">
        <f aca="false">RANK(H118,$H$43:$H$135,0)</f>
        <v>87</v>
      </c>
      <c r="J118" s="23"/>
      <c r="K118" s="23"/>
      <c r="L118" s="23"/>
      <c r="M118" s="23"/>
      <c r="N118" s="23"/>
    </row>
    <row r="119" customFormat="false" ht="15" hidden="false" customHeight="false" outlineLevel="0" collapsed="false">
      <c r="A119" s="23" t="s">
        <v>49</v>
      </c>
      <c r="B119" s="26" t="n">
        <f aca="false">SUMIFS(Datos!$O$2:$O$997,Datos!$G$2:$G$997,A119,Datos!$D$2:$D$997,$B$2)</f>
        <v>3514.95</v>
      </c>
      <c r="C119" s="23" t="n">
        <f aca="false">B119+ROW()/1000000</f>
        <v>3514.950119</v>
      </c>
      <c r="D119" s="23" t="n">
        <f aca="false">RANK(C119,$C$43:$C$137,0)</f>
        <v>17</v>
      </c>
      <c r="E119" s="23"/>
      <c r="F119" s="23" t="s">
        <v>129</v>
      </c>
      <c r="G119" s="26" t="n">
        <f aca="false">SUMIFS(Datos!$O$2:$O$997,Datos!$J$2:$J$997,F119,Datos!$D$2:$D$997,$B$2)</f>
        <v>3172.9</v>
      </c>
      <c r="H119" s="23" t="n">
        <f aca="false">G119+ROW()/1000000</f>
        <v>3172.900119</v>
      </c>
      <c r="I119" s="23" t="n">
        <f aca="false">RANK(H119,$H$43:$H$135,0)</f>
        <v>21</v>
      </c>
      <c r="J119" s="23"/>
      <c r="K119" s="23"/>
      <c r="L119" s="23"/>
      <c r="M119" s="23"/>
      <c r="N119" s="23"/>
    </row>
    <row r="120" customFormat="false" ht="15" hidden="false" customHeight="false" outlineLevel="0" collapsed="false">
      <c r="A120" s="23" t="s">
        <v>145</v>
      </c>
      <c r="B120" s="26" t="n">
        <f aca="false">SUMIFS(Datos!$O$2:$O$997,Datos!$G$2:$G$997,A120,Datos!$D$2:$D$997,$B$2)</f>
        <v>3253.35</v>
      </c>
      <c r="C120" s="23" t="n">
        <f aca="false">B120+ROW()/1000000</f>
        <v>3253.35012</v>
      </c>
      <c r="D120" s="23" t="n">
        <f aca="false">RANK(C120,$C$43:$C$137,0)</f>
        <v>20</v>
      </c>
      <c r="E120" s="23"/>
      <c r="F120" s="23" t="s">
        <v>136</v>
      </c>
      <c r="G120" s="26" t="n">
        <f aca="false">SUMIFS(Datos!$O$2:$O$997,Datos!$J$2:$J$997,F120,Datos!$D$2:$D$997,$B$2)</f>
        <v>2571.4</v>
      </c>
      <c r="H120" s="23" t="n">
        <f aca="false">G120+ROW()/1000000</f>
        <v>2571.40012</v>
      </c>
      <c r="I120" s="23" t="n">
        <f aca="false">RANK(H120,$H$43:$H$135,0)</f>
        <v>29</v>
      </c>
      <c r="J120" s="23"/>
      <c r="K120" s="23"/>
      <c r="L120" s="23"/>
      <c r="M120" s="23"/>
      <c r="N120" s="23"/>
    </row>
    <row r="121" customFormat="false" ht="15" hidden="false" customHeight="false" outlineLevel="0" collapsed="false">
      <c r="A121" s="23" t="s">
        <v>83</v>
      </c>
      <c r="B121" s="26" t="n">
        <f aca="false">SUMIFS(Datos!$O$2:$O$997,Datos!$G$2:$G$997,A121,Datos!$D$2:$D$997,$B$2)</f>
        <v>912</v>
      </c>
      <c r="C121" s="23" t="n">
        <f aca="false">B121+ROW()/1000000</f>
        <v>912.000121</v>
      </c>
      <c r="D121" s="23" t="n">
        <f aca="false">RANK(C121,$C$43:$C$137,0)</f>
        <v>79</v>
      </c>
      <c r="E121" s="23"/>
      <c r="F121" s="23" t="s">
        <v>140</v>
      </c>
      <c r="G121" s="26" t="n">
        <f aca="false">SUMIFS(Datos!$O$2:$O$997,Datos!$J$2:$J$997,F121,Datos!$D$2:$D$997,$B$2)</f>
        <v>880.64</v>
      </c>
      <c r="H121" s="23" t="n">
        <f aca="false">G121+ROW()/1000000</f>
        <v>880.640121</v>
      </c>
      <c r="I121" s="23" t="n">
        <f aca="false">RANK(H121,$H$43:$H$135,0)</f>
        <v>77</v>
      </c>
      <c r="J121" s="23"/>
      <c r="K121" s="23"/>
      <c r="L121" s="23"/>
      <c r="M121" s="23"/>
      <c r="N121" s="23"/>
    </row>
    <row r="122" customFormat="false" ht="15" hidden="false" customHeight="false" outlineLevel="0" collapsed="false">
      <c r="A122" s="23" t="s">
        <v>373</v>
      </c>
      <c r="B122" s="26" t="n">
        <f aca="false">SUMIFS(Datos!$O$2:$O$997,Datos!$G$2:$G$997,A122,Datos!$D$2:$D$997,$B$2)</f>
        <v>2117</v>
      </c>
      <c r="C122" s="23" t="n">
        <f aca="false">B122+ROW()/1000000</f>
        <v>2117.000122</v>
      </c>
      <c r="D122" s="23" t="n">
        <f aca="false">RANK(C122,$C$43:$C$137,0)</f>
        <v>36</v>
      </c>
      <c r="E122" s="23"/>
      <c r="F122" s="23" t="s">
        <v>175</v>
      </c>
      <c r="G122" s="26" t="n">
        <f aca="false">SUMIFS(Datos!$O$2:$O$997,Datos!$J$2:$J$997,F122,Datos!$D$2:$D$997,$B$2)</f>
        <v>1259.5</v>
      </c>
      <c r="H122" s="23" t="n">
        <f aca="false">G122+ROW()/1000000</f>
        <v>1259.500122</v>
      </c>
      <c r="I122" s="23" t="n">
        <f aca="false">RANK(H122,$H$43:$H$135,0)</f>
        <v>66</v>
      </c>
      <c r="J122" s="23"/>
      <c r="K122" s="23"/>
      <c r="L122" s="23"/>
      <c r="M122" s="23"/>
      <c r="N122" s="23"/>
    </row>
    <row r="123" customFormat="false" ht="15" hidden="false" customHeight="false" outlineLevel="0" collapsed="false">
      <c r="A123" s="23" t="s">
        <v>327</v>
      </c>
      <c r="B123" s="26" t="n">
        <f aca="false">SUMIFS(Datos!$O$2:$O$997,Datos!$G$2:$G$997,A123,Datos!$D$2:$D$997,$B$2)</f>
        <v>1467.84</v>
      </c>
      <c r="C123" s="23" t="n">
        <f aca="false">B123+ROW()/1000000</f>
        <v>1467.840123</v>
      </c>
      <c r="D123" s="23" t="n">
        <f aca="false">RANK(C123,$C$43:$C$137,0)</f>
        <v>57</v>
      </c>
      <c r="E123" s="23"/>
      <c r="F123" s="23" t="s">
        <v>360</v>
      </c>
      <c r="G123" s="26" t="n">
        <f aca="false">SUMIFS(Datos!$O$2:$O$997,Datos!$J$2:$J$997,F123,Datos!$D$2:$D$997,$B$2)</f>
        <v>1827</v>
      </c>
      <c r="H123" s="23" t="n">
        <f aca="false">G123+ROW()/1000000</f>
        <v>1827.000123</v>
      </c>
      <c r="I123" s="23" t="n">
        <f aca="false">RANK(H123,$H$43:$H$135,0)</f>
        <v>51</v>
      </c>
      <c r="J123" s="23"/>
      <c r="K123" s="23"/>
      <c r="L123" s="23"/>
      <c r="M123" s="23"/>
      <c r="N123" s="23"/>
    </row>
    <row r="124" customFormat="false" ht="15" hidden="false" customHeight="false" outlineLevel="0" collapsed="false">
      <c r="A124" s="23" t="s">
        <v>117</v>
      </c>
      <c r="B124" s="26" t="n">
        <f aca="false">SUMIFS(Datos!$O$2:$O$997,Datos!$G$2:$G$997,A124,Datos!$D$2:$D$997,$B$2)</f>
        <v>959.34</v>
      </c>
      <c r="C124" s="23" t="n">
        <f aca="false">B124+ROW()/1000000</f>
        <v>959.340124</v>
      </c>
      <c r="D124" s="23" t="n">
        <f aca="false">RANK(C124,$C$43:$C$137,0)</f>
        <v>77</v>
      </c>
      <c r="E124" s="23"/>
      <c r="F124" s="23" t="s">
        <v>144</v>
      </c>
      <c r="G124" s="26" t="n">
        <f aca="false">SUMIFS(Datos!$O$2:$O$997,Datos!$J$2:$J$997,F124,Datos!$D$2:$D$997,$B$2)</f>
        <v>2894.88</v>
      </c>
      <c r="H124" s="23" t="n">
        <f aca="false">G124+ROW()/1000000</f>
        <v>2894.880124</v>
      </c>
      <c r="I124" s="23" t="n">
        <f aca="false">RANK(H124,$H$43:$H$135,0)</f>
        <v>26</v>
      </c>
      <c r="J124" s="23"/>
      <c r="K124" s="23"/>
      <c r="L124" s="23"/>
      <c r="M124" s="23"/>
      <c r="N124" s="23"/>
    </row>
    <row r="125" customFormat="false" ht="15" hidden="false" customHeight="false" outlineLevel="0" collapsed="false">
      <c r="A125" s="23" t="s">
        <v>285</v>
      </c>
      <c r="B125" s="26" t="n">
        <f aca="false">SUMIFS(Datos!$O$2:$O$997,Datos!$G$2:$G$997,A125,Datos!$D$2:$D$997,$B$2)</f>
        <v>1293.15</v>
      </c>
      <c r="C125" s="23" t="n">
        <f aca="false">B125+ROW()/1000000</f>
        <v>1293.150125</v>
      </c>
      <c r="D125" s="23" t="n">
        <f aca="false">RANK(C125,$C$43:$C$137,0)</f>
        <v>64</v>
      </c>
      <c r="E125" s="23"/>
      <c r="F125" s="23" t="s">
        <v>288</v>
      </c>
      <c r="G125" s="26" t="n">
        <f aca="false">SUMIFS(Datos!$O$2:$O$997,Datos!$J$2:$J$997,F125,Datos!$D$2:$D$997,$B$2)</f>
        <v>1293.15</v>
      </c>
      <c r="H125" s="23" t="n">
        <f aca="false">G125+ROW()/1000000</f>
        <v>1293.150125</v>
      </c>
      <c r="I125" s="23" t="n">
        <f aca="false">RANK(H125,$H$43:$H$135,0)</f>
        <v>63</v>
      </c>
      <c r="J125" s="23"/>
      <c r="K125" s="23"/>
      <c r="L125" s="23"/>
      <c r="M125" s="23"/>
      <c r="N125" s="23"/>
    </row>
    <row r="126" customFormat="false" ht="15" hidden="false" customHeight="false" outlineLevel="0" collapsed="false">
      <c r="A126" s="23" t="s">
        <v>267</v>
      </c>
      <c r="B126" s="26" t="n">
        <f aca="false">SUMIFS(Datos!$O$2:$O$997,Datos!$G$2:$G$997,A126,Datos!$D$2:$D$997,$B$2)</f>
        <v>1028.6</v>
      </c>
      <c r="C126" s="23" t="n">
        <f aca="false">B126+ROW()/1000000</f>
        <v>1028.600126</v>
      </c>
      <c r="D126" s="23" t="n">
        <f aca="false">RANK(C126,$C$43:$C$137,0)</f>
        <v>74</v>
      </c>
      <c r="E126" s="23"/>
      <c r="F126" s="23" t="s">
        <v>152</v>
      </c>
      <c r="G126" s="26" t="n">
        <f aca="false">SUMIFS(Datos!$O$2:$O$997,Datos!$J$2:$J$997,F126,Datos!$D$2:$D$997,$B$2)</f>
        <v>3168.72</v>
      </c>
      <c r="H126" s="23" t="n">
        <f aca="false">G126+ROW()/1000000</f>
        <v>3168.720126</v>
      </c>
      <c r="I126" s="23" t="n">
        <f aca="false">RANK(H126,$H$43:$H$135,0)</f>
        <v>22</v>
      </c>
      <c r="J126" s="23"/>
      <c r="K126" s="23"/>
      <c r="L126" s="23"/>
      <c r="M126" s="23"/>
      <c r="N126" s="23"/>
    </row>
    <row r="127" customFormat="false" ht="15" hidden="false" customHeight="false" outlineLevel="0" collapsed="false">
      <c r="A127" s="23" t="s">
        <v>108</v>
      </c>
      <c r="B127" s="26" t="n">
        <f aca="false">SUMIFS(Datos!$O$2:$O$997,Datos!$G$2:$G$997,A127,Datos!$D$2:$D$997,$B$2)</f>
        <v>1501.5</v>
      </c>
      <c r="C127" s="23" t="n">
        <f aca="false">B127+ROW()/1000000</f>
        <v>1501.500127</v>
      </c>
      <c r="D127" s="23" t="n">
        <f aca="false">RANK(C127,$C$43:$C$137,0)</f>
        <v>56</v>
      </c>
      <c r="E127" s="23"/>
      <c r="F127" s="23" t="s">
        <v>237</v>
      </c>
      <c r="G127" s="26" t="n">
        <f aca="false">SUMIFS(Datos!$O$2:$O$997,Datos!$J$2:$J$997,F127,Datos!$D$2:$D$997,$B$2)</f>
        <v>5420.85</v>
      </c>
      <c r="H127" s="23" t="n">
        <f aca="false">G127+ROW()/1000000</f>
        <v>5420.850127</v>
      </c>
      <c r="I127" s="23" t="n">
        <f aca="false">RANK(H127,$H$43:$H$135,0)</f>
        <v>7</v>
      </c>
      <c r="J127" s="23"/>
      <c r="K127" s="23"/>
      <c r="L127" s="23"/>
      <c r="M127" s="23"/>
      <c r="N127" s="23"/>
    </row>
    <row r="128" customFormat="false" ht="15" hidden="false" customHeight="false" outlineLevel="0" collapsed="false">
      <c r="A128" s="23" t="s">
        <v>234</v>
      </c>
      <c r="B128" s="26" t="n">
        <f aca="false">SUMIFS(Datos!$O$2:$O$997,Datos!$G$2:$G$997,A128,Datos!$D$2:$D$997,$B$2)</f>
        <v>5420.85</v>
      </c>
      <c r="C128" s="23" t="n">
        <f aca="false">B128+ROW()/1000000</f>
        <v>5420.850128</v>
      </c>
      <c r="D128" s="23" t="n">
        <f aca="false">RANK(C128,$C$43:$C$137,0)</f>
        <v>8</v>
      </c>
      <c r="E128" s="23"/>
      <c r="F128" s="23" t="s">
        <v>379</v>
      </c>
      <c r="G128" s="26" t="n">
        <f aca="false">SUMIFS(Datos!$O$2:$O$997,Datos!$J$2:$J$997,F128,Datos!$D$2:$D$997,$B$2)</f>
        <v>1518.3</v>
      </c>
      <c r="H128" s="23" t="n">
        <f aca="false">G128+ROW()/1000000</f>
        <v>1518.300128</v>
      </c>
      <c r="I128" s="23" t="n">
        <f aca="false">RANK(H128,$H$43:$H$135,0)</f>
        <v>56</v>
      </c>
      <c r="J128" s="23"/>
      <c r="K128" s="23"/>
      <c r="L128" s="23"/>
      <c r="M128" s="23"/>
      <c r="N128" s="23"/>
    </row>
    <row r="129" customFormat="false" ht="15" hidden="false" customHeight="false" outlineLevel="0" collapsed="false">
      <c r="A129" s="23" t="s">
        <v>353</v>
      </c>
      <c r="B129" s="26" t="n">
        <f aca="false">SUMIFS(Datos!$O$2:$O$997,Datos!$G$2:$G$997,A129,Datos!$D$2:$D$997,$B$2)</f>
        <v>5350.17</v>
      </c>
      <c r="C129" s="23" t="n">
        <f aca="false">B129+ROW()/1000000</f>
        <v>5350.170129</v>
      </c>
      <c r="D129" s="23" t="n">
        <f aca="false">RANK(C129,$C$43:$C$137,0)</f>
        <v>9</v>
      </c>
      <c r="E129" s="23"/>
      <c r="F129" s="23" t="s">
        <v>155</v>
      </c>
      <c r="G129" s="26" t="n">
        <f aca="false">SUMIFS(Datos!$O$2:$O$997,Datos!$J$2:$J$997,F129,Datos!$D$2:$D$997,$B$2)</f>
        <v>1964.41</v>
      </c>
      <c r="H129" s="23" t="n">
        <f aca="false">G129+ROW()/1000000</f>
        <v>1964.410129</v>
      </c>
      <c r="I129" s="23" t="n">
        <f aca="false">RANK(H129,$H$43:$H$135,0)</f>
        <v>45</v>
      </c>
      <c r="J129" s="23"/>
      <c r="K129" s="23"/>
      <c r="L129" s="23"/>
      <c r="M129" s="23"/>
      <c r="N129" s="23"/>
    </row>
    <row r="130" customFormat="false" ht="15" hidden="false" customHeight="false" outlineLevel="0" collapsed="false">
      <c r="A130" s="23" t="s">
        <v>302</v>
      </c>
      <c r="B130" s="26" t="n">
        <f aca="false">SUMIFS(Datos!$O$2:$O$997,Datos!$G$2:$G$997,A130,Datos!$D$2:$D$997,$B$2)</f>
        <v>6439.68</v>
      </c>
      <c r="C130" s="23" t="n">
        <f aca="false">B130+ROW()/1000000</f>
        <v>6439.68013</v>
      </c>
      <c r="D130" s="23" t="n">
        <f aca="false">RANK(C130,$C$43:$C$137,0)</f>
        <v>6</v>
      </c>
      <c r="E130" s="23"/>
      <c r="F130" s="23" t="s">
        <v>159</v>
      </c>
      <c r="G130" s="26" t="n">
        <f aca="false">SUMIFS(Datos!$O$2:$O$997,Datos!$J$2:$J$997,F130,Datos!$D$2:$D$997,$B$2)</f>
        <v>1770.08</v>
      </c>
      <c r="H130" s="23" t="n">
        <f aca="false">G130+ROW()/1000000</f>
        <v>1770.08013</v>
      </c>
      <c r="I130" s="23" t="n">
        <f aca="false">RANK(H130,$H$43:$H$135,0)</f>
        <v>52</v>
      </c>
      <c r="J130" s="23"/>
      <c r="K130" s="23"/>
      <c r="L130" s="23"/>
      <c r="M130" s="23"/>
      <c r="N130" s="23"/>
    </row>
    <row r="131" customFormat="false" ht="15" hidden="false" customHeight="false" outlineLevel="0" collapsed="false">
      <c r="A131" s="23" t="s">
        <v>256</v>
      </c>
      <c r="B131" s="26" t="n">
        <f aca="false">SUMIFS(Datos!$O$2:$O$997,Datos!$G$2:$G$997,A131,Datos!$D$2:$D$997,$B$2)</f>
        <v>3529.8</v>
      </c>
      <c r="C131" s="23" t="n">
        <f aca="false">B131+ROW()/1000000</f>
        <v>3529.800131</v>
      </c>
      <c r="D131" s="23" t="n">
        <f aca="false">RANK(C131,$C$43:$C$137,0)</f>
        <v>16</v>
      </c>
      <c r="E131" s="23"/>
      <c r="F131" s="23" t="s">
        <v>199</v>
      </c>
      <c r="G131" s="26" t="n">
        <f aca="false">SUMIFS(Datos!$O$2:$O$997,Datos!$J$2:$J$997,F131,Datos!$D$2:$D$997,$B$2)</f>
        <v>3214.46</v>
      </c>
      <c r="H131" s="23" t="n">
        <f aca="false">G131+ROW()/1000000</f>
        <v>3214.460131</v>
      </c>
      <c r="I131" s="23" t="n">
        <f aca="false">RANK(H131,$H$43:$H$135,0)</f>
        <v>20</v>
      </c>
      <c r="J131" s="23"/>
      <c r="K131" s="23"/>
      <c r="L131" s="23"/>
      <c r="M131" s="23"/>
      <c r="N131" s="23"/>
    </row>
    <row r="132" customFormat="false" ht="15" hidden="false" customHeight="false" outlineLevel="0" collapsed="false">
      <c r="A132" s="23" t="s">
        <v>307</v>
      </c>
      <c r="B132" s="26" t="n">
        <f aca="false">SUMIFS(Datos!$O$2:$O$997,Datos!$G$2:$G$997,A132,Datos!$D$2:$D$997,$B$2)</f>
        <v>2180.85</v>
      </c>
      <c r="C132" s="23" t="n">
        <f aca="false">B132+ROW()/1000000</f>
        <v>2180.850132</v>
      </c>
      <c r="D132" s="23" t="n">
        <f aca="false">RANK(C132,$C$43:$C$137,0)</f>
        <v>34</v>
      </c>
      <c r="E132" s="23"/>
      <c r="F132" s="23" t="s">
        <v>202</v>
      </c>
      <c r="G132" s="26" t="n">
        <f aca="false">SUMIFS(Datos!$O$2:$O$997,Datos!$J$2:$J$997,F132,Datos!$D$2:$D$997,$B$2)</f>
        <v>1466.64</v>
      </c>
      <c r="H132" s="23" t="n">
        <f aca="false">G132+ROW()/1000000</f>
        <v>1466.640132</v>
      </c>
      <c r="I132" s="23" t="n">
        <f aca="false">RANK(H132,$H$43:$H$135,0)</f>
        <v>59</v>
      </c>
      <c r="J132" s="23"/>
      <c r="K132" s="23"/>
      <c r="L132" s="23"/>
      <c r="M132" s="23"/>
      <c r="N132" s="23"/>
    </row>
    <row r="133" customFormat="false" ht="15" hidden="false" customHeight="false" outlineLevel="0" collapsed="false">
      <c r="A133" s="23" t="s">
        <v>334</v>
      </c>
      <c r="B133" s="26" t="n">
        <f aca="false">SUMIFS(Datos!$O$2:$O$997,Datos!$G$2:$G$997,A133,Datos!$D$2:$D$997,$B$2)</f>
        <v>13824</v>
      </c>
      <c r="C133" s="23" t="n">
        <f aca="false">B133+ROW()/1000000</f>
        <v>13824.000133</v>
      </c>
      <c r="D133" s="23" t="n">
        <f aca="false">RANK(C133,$C$43:$C$137,0)</f>
        <v>2</v>
      </c>
      <c r="E133" s="23"/>
      <c r="F133" s="23" t="s">
        <v>344</v>
      </c>
      <c r="G133" s="26" t="n">
        <f aca="false">SUMIFS(Datos!$O$2:$O$997,Datos!$J$2:$J$997,F133,Datos!$D$2:$D$997,$B$2)</f>
        <v>14683.04</v>
      </c>
      <c r="H133" s="23" t="n">
        <f aca="false">G133+ROW()/1000000</f>
        <v>14683.040133</v>
      </c>
      <c r="I133" s="23" t="n">
        <f aca="false">RANK(H133,$H$43:$H$135,0)</f>
        <v>1</v>
      </c>
      <c r="J133" s="23"/>
      <c r="K133" s="23"/>
      <c r="L133" s="23"/>
      <c r="M133" s="23"/>
      <c r="N133" s="23"/>
    </row>
    <row r="134" customFormat="false" ht="15" hidden="false" customHeight="false" outlineLevel="0" collapsed="false">
      <c r="A134" s="23" t="s">
        <v>91</v>
      </c>
      <c r="B134" s="26" t="n">
        <f aca="false">SUMIFS(Datos!$O$2:$O$997,Datos!$G$2:$G$997,A134,Datos!$D$2:$D$997,$B$2)</f>
        <v>1862.24</v>
      </c>
      <c r="C134" s="23" t="n">
        <f aca="false">B134+ROW()/1000000</f>
        <v>1862.240134</v>
      </c>
      <c r="D134" s="23" t="n">
        <f aca="false">RANK(C134,$C$43:$C$137,0)</f>
        <v>47</v>
      </c>
      <c r="E134" s="23"/>
      <c r="F134" s="23" t="s">
        <v>368</v>
      </c>
      <c r="G134" s="26" t="n">
        <f aca="false">SUMIFS(Datos!$O$2:$O$997,Datos!$J$2:$J$997,F134,Datos!$D$2:$D$997,$B$2)</f>
        <v>600.3</v>
      </c>
      <c r="H134" s="23" t="n">
        <f aca="false">G134+ROW()/1000000</f>
        <v>600.300134</v>
      </c>
      <c r="I134" s="23" t="n">
        <f aca="false">RANK(H134,$H$43:$H$135,0)</f>
        <v>85</v>
      </c>
      <c r="J134" s="23"/>
      <c r="K134" s="23"/>
      <c r="L134" s="23"/>
      <c r="M134" s="23"/>
      <c r="N134" s="23"/>
    </row>
    <row r="135" customFormat="false" ht="15" hidden="false" customHeight="false" outlineLevel="0" collapsed="false">
      <c r="A135" s="23" t="s">
        <v>57</v>
      </c>
      <c r="B135" s="26" t="n">
        <f aca="false">SUMIFS(Datos!$O$2:$O$997,Datos!$G$2:$G$997,A135,Datos!$D$2:$D$997,$B$2)</f>
        <v>1280.3</v>
      </c>
      <c r="C135" s="23" t="n">
        <f aca="false">B135+ROW()/1000000</f>
        <v>1280.300135</v>
      </c>
      <c r="D135" s="23" t="n">
        <f aca="false">RANK(C135,$C$43:$C$137,0)</f>
        <v>65</v>
      </c>
      <c r="E135" s="23"/>
      <c r="F135" s="23" t="s">
        <v>179</v>
      </c>
      <c r="G135" s="26" t="n">
        <f aca="false">SUMIFS(Datos!$O$2:$O$997,Datos!$J$2:$J$997,F135,Datos!$D$2:$D$997,$B$2)</f>
        <v>2026.72</v>
      </c>
      <c r="H135" s="23" t="n">
        <f aca="false">G135+ROW()/1000000</f>
        <v>2026.720135</v>
      </c>
      <c r="I135" s="23" t="n">
        <f aca="false">RANK(H135,$H$43:$H$135,0)</f>
        <v>43</v>
      </c>
      <c r="J135" s="23"/>
      <c r="K135" s="23"/>
      <c r="L135" s="23"/>
      <c r="M135" s="23"/>
      <c r="N135" s="23"/>
    </row>
    <row r="136" customFormat="false" ht="15" hidden="false" customHeight="false" outlineLevel="0" collapsed="false">
      <c r="A136" s="23" t="s">
        <v>34</v>
      </c>
      <c r="B136" s="26" t="n">
        <f aca="false">SUMIFS(Datos!$O$2:$O$997,Datos!$G$2:$G$997,A136,Datos!$D$2:$D$997,$B$2)</f>
        <v>1046.46</v>
      </c>
      <c r="C136" s="23" t="n">
        <f aca="false">B136+ROW()/1000000</f>
        <v>1046.460136</v>
      </c>
      <c r="D136" s="23" t="n">
        <f aca="false">RANK(C136,$C$43:$C$137,0)</f>
        <v>73</v>
      </c>
      <c r="E136" s="23"/>
      <c r="F136" s="23"/>
      <c r="G136" s="23"/>
      <c r="H136" s="23"/>
      <c r="I136" s="23"/>
      <c r="J136" s="23"/>
      <c r="K136" s="23"/>
      <c r="L136" s="23"/>
      <c r="M136" s="23"/>
      <c r="N136" s="23"/>
    </row>
    <row r="137" customFormat="false" ht="15" hidden="false" customHeight="false" outlineLevel="0" collapsed="false">
      <c r="A137" s="23" t="s">
        <v>87</v>
      </c>
      <c r="B137" s="26" t="n">
        <f aca="false">SUMIFS(Datos!$O$2:$O$997,Datos!$G$2:$G$997,A137,Datos!$D$2:$D$997,$B$2)</f>
        <v>4319.26</v>
      </c>
      <c r="C137" s="23" t="n">
        <f aca="false">B137+ROW()/1000000</f>
        <v>4319.260137</v>
      </c>
      <c r="D137" s="23" t="n">
        <f aca="false">RANK(C137,$C$43:$C$137,0)</f>
        <v>13</v>
      </c>
      <c r="E137" s="23"/>
      <c r="F137" s="23"/>
      <c r="G137" s="23"/>
      <c r="H137" s="23"/>
      <c r="I137" s="23"/>
      <c r="J137" s="23"/>
      <c r="K137" s="23"/>
      <c r="L137" s="23"/>
      <c r="M137" s="23"/>
      <c r="N137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22" t="s">
        <v>523</v>
      </c>
    </row>
    <row r="2" customFormat="false" ht="15" hidden="false" customHeight="false" outlineLevel="0" collapsed="false">
      <c r="A2" s="30" t="s">
        <v>524</v>
      </c>
    </row>
    <row r="3" customFormat="false" ht="15" hidden="false" customHeight="false" outlineLevel="0" collapsed="false">
      <c r="A3" s="30" t="s">
        <v>525</v>
      </c>
    </row>
    <row r="4" customFormat="false" ht="15" hidden="false" customHeight="false" outlineLevel="0" collapsed="false">
      <c r="A4" s="30" t="s">
        <v>526</v>
      </c>
    </row>
    <row r="5" customFormat="false" ht="15" hidden="false" customHeight="false" outlineLevel="0" collapsed="false">
      <c r="A5" s="30" t="s">
        <v>527</v>
      </c>
    </row>
    <row r="6" customFormat="false" ht="15" hidden="false" customHeight="false" outlineLevel="0" collapsed="false">
      <c r="A6" s="30" t="s">
        <v>528</v>
      </c>
    </row>
    <row r="7" customFormat="false" ht="15" hidden="false" customHeight="false" outlineLevel="0" collapsed="false">
      <c r="A7" s="30" t="s">
        <v>529</v>
      </c>
    </row>
    <row r="8" customFormat="false" ht="15" hidden="false" customHeight="false" outlineLevel="0" collapsed="false">
      <c r="A8" s="30" t="s">
        <v>530</v>
      </c>
    </row>
    <row r="9" customFormat="false" ht="15" hidden="false" customHeight="false" outlineLevel="0" collapsed="false">
      <c r="A9" s="30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2026-10-02T22:43:05Z</dcterms:created>
  <dc:creator>openpyxl</dc:creator>
  <dc:description/>
  <dc:language>en-US</dc:language>
  <cp:lastModifiedBy/>
  <dcterms:modified xsi:type="dcterms:W3CDTF">2026-10-02T22:51:16Z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